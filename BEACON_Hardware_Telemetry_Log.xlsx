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ge B - V and I" sheetId="2" state="visible" r:id="rId2"/>
    <sheet xmlns:r="http://schemas.openxmlformats.org/officeDocument/2006/relationships" name="Demo - Temperature" sheetId="3" state="visible" r:id="rId3"/>
    <sheet xmlns:r="http://schemas.openxmlformats.org/officeDocument/2006/relationships" name="Stage A - Transport" sheetId="4" state="visible" r:id="rId4"/>
    <sheet xmlns:r="http://schemas.openxmlformats.org/officeDocument/2006/relationships" name="Timing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111826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B3261E"/>
      <sz val="10"/>
    </font>
    <font>
      <name val="Arial"/>
      <i val="1"/>
      <color rgb="005B6678"/>
      <sz val="9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0" applyAlignment="1" pivotButton="0" quotePrefix="0" xfId="0">
      <alignment horizontal="center" wrapText="1"/>
    </xf>
    <xf numFmtId="0" fontId="2" fillId="0" borderId="1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4" customWidth="1" min="3" max="3"/>
    <col width="14" customWidth="1" min="4" max="4"/>
    <col width="14" customWidth="1" min="5" max="5"/>
  </cols>
  <sheetData>
    <row r="1">
      <c r="A1" s="1" t="inlineStr">
        <is>
          <t>BEACON - Hardware Telemetry Log</t>
        </is>
      </c>
    </row>
    <row r="3">
      <c r="A3" s="2" t="inlineStr">
        <is>
          <t>Every row in this workbook is a decoded telemetry record from a physical capture taken over USB serial from an ESP8266 bench rig.</t>
        </is>
      </c>
    </row>
    <row r="4">
      <c r="A4" s="2" t="inlineStr">
        <is>
          <t>Source files are committed in the repository under data/interim/ and replay through the pipeline on demand. Nothing here was generated for presentation.</t>
        </is>
      </c>
    </row>
    <row r="6">
      <c r="A6" s="3" t="inlineStr">
        <is>
          <t>Provenance of each sheet</t>
        </is>
      </c>
    </row>
    <row r="7">
      <c r="A7" s="4" t="inlineStr">
        <is>
          <t>Sheet</t>
        </is>
      </c>
      <c r="B7" s="4" t="inlineStr">
        <is>
          <t>Source file</t>
        </is>
      </c>
      <c r="C7" s="4" t="inlineStr">
        <is>
          <t>What it establishes</t>
        </is>
      </c>
    </row>
    <row r="8">
      <c r="A8" s="5" t="inlineStr">
        <is>
          <t>Stage B - V and I</t>
        </is>
      </c>
      <c r="B8" s="5" t="inlineStr">
        <is>
          <t>data/interim/rig_stage_b_voltage_verified.txt</t>
        </is>
      </c>
      <c r="C8" s="5" t="inlineStr">
        <is>
          <t>MEASURED: terminal voltage and current from a real cell</t>
        </is>
      </c>
    </row>
    <row r="9">
      <c r="A9" s="5" t="inlineStr">
        <is>
          <t>Demo - Temperature</t>
        </is>
      </c>
      <c r="B9" s="5" t="inlineStr">
        <is>
          <t>data/interim/rig_demo.txt</t>
        </is>
      </c>
      <c r="C9" s="5" t="inlineStr">
        <is>
          <t>MEASURED: cell-surface temperature from an LM35</t>
        </is>
      </c>
    </row>
    <row r="10">
      <c r="A10" s="5" t="inlineStr">
        <is>
          <t>Stage A - Transport</t>
        </is>
      </c>
      <c r="B10" s="5" t="inlineStr">
        <is>
          <t>data/interim/rig_stage_a.txt</t>
        </is>
      </c>
      <c r="C10" s="5" t="inlineStr">
        <is>
          <t>SYNTHETIC values on real hardware - transport only, not measurement</t>
        </is>
      </c>
    </row>
    <row r="11">
      <c r="A11" s="5" t="inlineStr">
        <is>
          <t>Timing</t>
        </is>
      </c>
      <c r="B11" s="5" t="inlineStr">
        <is>
          <t>computed from the above</t>
        </is>
      </c>
      <c r="C11" s="5" t="inlineStr">
        <is>
          <t>Sample interval, jitter, dropped samples</t>
        </is>
      </c>
    </row>
    <row r="12">
      <c r="A12" s="5" t="inlineStr">
        <is>
          <t>Summary</t>
        </is>
      </c>
      <c r="B12" s="5" t="inlineStr">
        <is>
          <t>computed from the above</t>
        </is>
      </c>
      <c r="C12" s="5" t="inlineStr">
        <is>
          <t>Per-channel statistics</t>
        </is>
      </c>
    </row>
    <row r="15">
      <c r="A15" s="6" t="inlineStr">
        <is>
          <t>Read this before quoting any number from Stage A</t>
        </is>
      </c>
    </row>
    <row r="16">
      <c r="A16" s="5" t="inlineStr">
        <is>
          <t>The Stage A firmware ran synthetic sensor stubs. Its voltage, current and temperature values were generated on the microcontroller and carried over a real wire. That capture validates the transport - framing, checksums, sentinel resync, time monotonicity - and establishes nothing about measurement accuracy.</t>
        </is>
      </c>
    </row>
    <row r="17"/>
    <row r="18"/>
    <row r="20">
      <c r="A20" s="3" t="inlineStr">
        <is>
          <t>Wire protocol</t>
        </is>
      </c>
    </row>
    <row r="21">
      <c r="A21" s="5" t="inlineStr">
        <is>
          <t>Schema beacon.telemetry.v1. Each line: sentinel BEACON1, record type, JSON body, then an NMEA-style XOR checksum as *HH. A line carrying a checksum must verify or the record is refused. Only the time field 't' is structurally required; a channel the rig cannot measure is omitted, not zero-filled.</t>
        </is>
      </c>
    </row>
    <row r="22"/>
    <row r="23"/>
    <row r="25">
      <c r="A25" s="3" t="inlineStr">
        <is>
          <t>Units</t>
        </is>
      </c>
    </row>
    <row r="26">
      <c r="A26" s="3" t="inlineStr">
        <is>
          <t>t</t>
        </is>
      </c>
      <c r="B26" s="2" t="inlineStr">
        <is>
          <t>seconds since firmware boot (elapsed time only - no wall-clock axis)</t>
        </is>
      </c>
    </row>
    <row r="27">
      <c r="A27" s="3" t="inlineStr">
        <is>
          <t>v</t>
        </is>
      </c>
      <c r="B27" s="2" t="inlineStr">
        <is>
          <t>volts, cell terminal voltage (INA219 bus channel, 4 mV LSB)</t>
        </is>
      </c>
    </row>
    <row r="28">
      <c r="A28" s="3" t="inlineStr">
        <is>
          <t>i</t>
        </is>
      </c>
      <c r="B28" s="2" t="inlineStr">
        <is>
          <t>amperes, SIGNED - negative is discharge, positive is charge</t>
        </is>
      </c>
    </row>
    <row r="29">
      <c r="A29" s="3" t="inlineStr">
        <is>
          <t>tc</t>
        </is>
      </c>
      <c r="B29" s="2" t="inlineStr">
        <is>
          <t>degrees Celsius, cell surface temperature</t>
        </is>
      </c>
    </row>
    <row r="30">
      <c r="A30" s="3" t="inlineStr">
        <is>
          <t>soc</t>
        </is>
      </c>
      <c r="B30" s="2" t="inlineStr">
        <is>
          <t>percent, 0-100, coulomb-counting estimate</t>
        </is>
      </c>
    </row>
  </sheetData>
  <mergeCells count="2">
    <mergeCell ref="A21:E23"/>
    <mergeCell ref="A16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3" customWidth="1" min="7" max="7"/>
  </cols>
  <sheetData>
    <row r="1">
      <c r="A1" s="1" t="inlineStr">
        <is>
          <t>Stage B - V and I</t>
        </is>
      </c>
    </row>
    <row r="2">
      <c r="A2" s="7" t="inlineStr">
        <is>
          <t>INA219 fitted. Voltage and current measured from a physical 18650. Temperature sensor absent, so the rig did not declare that channel.</t>
        </is>
      </c>
    </row>
    <row r="3"/>
    <row r="5">
      <c r="A5" s="3" t="inlineStr">
        <is>
          <t>Rig declaration (HELLO line)</t>
        </is>
      </c>
    </row>
    <row r="6">
      <c r="A6" s="2" t="inlineStr">
        <is>
          <t>schema</t>
        </is>
      </c>
      <c r="B6" s="2" t="inlineStr">
        <is>
          <t>beacon.telemetry.v1</t>
        </is>
      </c>
    </row>
    <row r="7">
      <c r="A7" s="2" t="inlineStr">
        <is>
          <t>cell_id</t>
        </is>
      </c>
      <c r="B7" s="2" t="inlineStr">
        <is>
          <t>RIG_01</t>
        </is>
      </c>
    </row>
    <row r="8">
      <c r="A8" s="2" t="inlineStr">
        <is>
          <t>device</t>
        </is>
      </c>
      <c r="B8" s="2" t="inlineStr">
        <is>
          <t>esp8266</t>
        </is>
      </c>
    </row>
    <row r="9">
      <c r="A9" s="2" t="inlineStr">
        <is>
          <t>firmware</t>
        </is>
      </c>
      <c r="B9" s="2" t="inlineStr">
        <is>
          <t>beacon-rig-reference/1.0</t>
        </is>
      </c>
    </row>
    <row r="10">
      <c r="A10" s="2" t="inlineStr">
        <is>
          <t>period_ms</t>
        </is>
      </c>
      <c r="B10" s="2" t="n">
        <v>1000</v>
      </c>
    </row>
    <row r="11">
      <c r="A11" s="2" t="inlineStr">
        <is>
          <t>capacity_ah</t>
        </is>
      </c>
      <c r="B11" s="2" t="n">
        <v>2.2</v>
      </c>
    </row>
    <row r="12">
      <c r="A12" s="2" t="inlineStr">
        <is>
          <t>fields</t>
        </is>
      </c>
      <c r="B12" s="2" t="inlineStr">
        <is>
          <t>t, v, i, soc</t>
        </is>
      </c>
    </row>
    <row r="14">
      <c r="A14" s="3" t="inlineStr">
        <is>
          <t>Status lines emitted by the rig</t>
        </is>
      </c>
    </row>
    <row r="15">
      <c r="A15" s="2" t="inlineStr">
        <is>
          <t>INA219 ready at 0x40</t>
        </is>
      </c>
    </row>
    <row r="16">
      <c r="A16" s="2" t="inlineStr">
        <is>
          <t>no temperature sensor: A0 reads 8.3 counts (2.6 C) - channel not declared</t>
        </is>
      </c>
    </row>
    <row r="17">
      <c r="A17" s="2" t="inlineStr">
        <is>
          <t>rig started</t>
        </is>
      </c>
    </row>
    <row r="18">
      <c r="A18" s="2" t="inlineStr">
        <is>
          <t>temperature channel unavailable: LM35 raw=8.8 counts (2.8 C), below 5.0 C floor - check wiring</t>
        </is>
      </c>
    </row>
    <row r="20">
      <c r="A20" s="8" t="inlineStr">
        <is>
          <t>Sample #</t>
        </is>
      </c>
      <c r="B20" s="8" t="inlineStr">
        <is>
          <t>Elapsed (s)</t>
        </is>
      </c>
      <c r="C20" s="8" t="inlineStr">
        <is>
          <t>Voltage (V)</t>
        </is>
      </c>
      <c r="D20" s="8" t="inlineStr">
        <is>
          <t>Current (A)</t>
        </is>
      </c>
      <c r="E20" s="8" t="inlineStr">
        <is>
          <t>SOC (%)</t>
        </is>
      </c>
      <c r="F20" s="8" t="inlineStr">
        <is>
          <t>Checksum</t>
        </is>
      </c>
      <c r="G20" s="8" t="inlineStr">
        <is>
          <t>Interval (s)</t>
        </is>
      </c>
    </row>
    <row r="21">
      <c r="A21" s="2" t="n">
        <v>1</v>
      </c>
      <c r="B21" s="9" t="n">
        <v>0.225</v>
      </c>
      <c r="C21" s="10" t="n">
        <v>3.988</v>
      </c>
      <c r="D21" s="10" t="n">
        <v>0.0002</v>
      </c>
      <c r="E21" s="9" t="n">
        <v>100</v>
      </c>
      <c r="F21" s="2" t="inlineStr">
        <is>
          <t>*02</t>
        </is>
      </c>
    </row>
    <row r="22">
      <c r="A22" s="2" t="n">
        <v>2</v>
      </c>
      <c r="B22" s="9" t="n">
        <v>1.225</v>
      </c>
      <c r="C22" s="10" t="n">
        <v>3.988</v>
      </c>
      <c r="D22" s="10" t="n">
        <v>-0.0002</v>
      </c>
      <c r="E22" s="9" t="n">
        <v>100</v>
      </c>
      <c r="F22" s="2" t="inlineStr">
        <is>
          <t>*2E</t>
        </is>
      </c>
      <c r="G22" s="10">
        <f>B22-B21</f>
        <v/>
      </c>
    </row>
    <row r="23">
      <c r="A23" s="2" t="n">
        <v>3</v>
      </c>
      <c r="B23" s="9" t="n">
        <v>2.225</v>
      </c>
      <c r="C23" s="10" t="n">
        <v>3.988</v>
      </c>
      <c r="D23" s="10" t="n">
        <v>0</v>
      </c>
      <c r="E23" s="9" t="n">
        <v>100</v>
      </c>
      <c r="F23" s="2" t="inlineStr">
        <is>
          <t>*02</t>
        </is>
      </c>
      <c r="G23" s="10">
        <f>B23-B22</f>
        <v/>
      </c>
    </row>
    <row r="24">
      <c r="A24" s="2" t="n">
        <v>4</v>
      </c>
      <c r="B24" s="9" t="n">
        <v>3.225</v>
      </c>
      <c r="C24" s="10" t="n">
        <v>3.984</v>
      </c>
      <c r="D24" s="10" t="n">
        <v>-0.0002</v>
      </c>
      <c r="E24" s="9" t="n">
        <v>100</v>
      </c>
      <c r="F24" s="2" t="inlineStr">
        <is>
          <t>*20</t>
        </is>
      </c>
      <c r="G24" s="10">
        <f>B24-B23</f>
        <v/>
      </c>
    </row>
    <row r="25">
      <c r="A25" s="2" t="n">
        <v>5</v>
      </c>
      <c r="B25" s="9" t="n">
        <v>4.225</v>
      </c>
      <c r="C25" s="10" t="n">
        <v>3.984</v>
      </c>
      <c r="D25" s="10" t="n">
        <v>0</v>
      </c>
      <c r="E25" s="9" t="n">
        <v>100</v>
      </c>
      <c r="F25" s="2" t="inlineStr">
        <is>
          <t>*08</t>
        </is>
      </c>
      <c r="G25" s="10">
        <f>B25-B24</f>
        <v/>
      </c>
    </row>
    <row r="26">
      <c r="A26" s="2" t="n">
        <v>6</v>
      </c>
      <c r="B26" s="9" t="n">
        <v>5.225</v>
      </c>
      <c r="C26" s="10" t="n">
        <v>3.988</v>
      </c>
      <c r="D26" s="10" t="n">
        <v>0</v>
      </c>
      <c r="E26" s="9" t="n">
        <v>100</v>
      </c>
      <c r="F26" s="2" t="inlineStr">
        <is>
          <t>*05</t>
        </is>
      </c>
      <c r="G26" s="10">
        <f>B26-B25</f>
        <v/>
      </c>
    </row>
    <row r="27">
      <c r="A27" s="2" t="n">
        <v>7</v>
      </c>
      <c r="B27" s="9" t="n">
        <v>6.225</v>
      </c>
      <c r="C27" s="10" t="n">
        <v>3.988</v>
      </c>
      <c r="D27" s="10" t="n">
        <v>-0.0002</v>
      </c>
      <c r="E27" s="9" t="n">
        <v>100</v>
      </c>
      <c r="F27" s="2" t="inlineStr">
        <is>
          <t>*29</t>
        </is>
      </c>
      <c r="G27" s="10">
        <f>B27-B26</f>
        <v/>
      </c>
    </row>
    <row r="28">
      <c r="A28" s="2" t="n">
        <v>8</v>
      </c>
      <c r="B28" s="9" t="n">
        <v>7.225</v>
      </c>
      <c r="C28" s="10" t="n">
        <v>3.984</v>
      </c>
      <c r="D28" s="10" t="n">
        <v>0.0002</v>
      </c>
      <c r="E28" s="9" t="n">
        <v>100</v>
      </c>
      <c r="F28" s="2" t="inlineStr">
        <is>
          <t>*09</t>
        </is>
      </c>
      <c r="G28" s="10">
        <f>B28-B27</f>
        <v/>
      </c>
    </row>
    <row r="29">
      <c r="A29" s="2" t="n">
        <v>9</v>
      </c>
      <c r="B29" s="9" t="n">
        <v>8.225</v>
      </c>
      <c r="C29" s="10" t="n">
        <v>3.988</v>
      </c>
      <c r="D29" s="10" t="n">
        <v>0</v>
      </c>
      <c r="E29" s="9" t="n">
        <v>100</v>
      </c>
      <c r="F29" s="2" t="inlineStr">
        <is>
          <t>*08</t>
        </is>
      </c>
      <c r="G29" s="10">
        <f>B29-B28</f>
        <v/>
      </c>
    </row>
    <row r="30">
      <c r="A30" s="2" t="n">
        <v>10</v>
      </c>
      <c r="B30" s="9" t="n">
        <v>9.225</v>
      </c>
      <c r="C30" s="10" t="n">
        <v>3.988</v>
      </c>
      <c r="D30" s="10" t="n">
        <v>0</v>
      </c>
      <c r="E30" s="9" t="n">
        <v>100</v>
      </c>
      <c r="F30" s="2" t="inlineStr">
        <is>
          <t>*09</t>
        </is>
      </c>
      <c r="G30" s="10">
        <f>B30-B29</f>
        <v/>
      </c>
    </row>
    <row r="31">
      <c r="A31" s="2" t="n">
        <v>11</v>
      </c>
      <c r="B31" s="9" t="n">
        <v>10.225</v>
      </c>
      <c r="C31" s="10" t="n">
        <v>3.988</v>
      </c>
      <c r="D31" s="10" t="n">
        <v>-0.0002</v>
      </c>
      <c r="E31" s="9" t="n">
        <v>100</v>
      </c>
      <c r="F31" s="2" t="inlineStr">
        <is>
          <t>*1E</t>
        </is>
      </c>
      <c r="G31" s="10">
        <f>B31-B30</f>
        <v/>
      </c>
    </row>
    <row r="32">
      <c r="A32" s="2" t="n">
        <v>12</v>
      </c>
      <c r="B32" s="9" t="n">
        <v>11.225</v>
      </c>
      <c r="C32" s="10" t="n">
        <v>3.988</v>
      </c>
      <c r="D32" s="10" t="n">
        <v>0</v>
      </c>
      <c r="E32" s="9" t="n">
        <v>100</v>
      </c>
      <c r="F32" s="2" t="inlineStr">
        <is>
          <t>*30</t>
        </is>
      </c>
      <c r="G32" s="10">
        <f>B32-B31</f>
        <v/>
      </c>
    </row>
    <row r="33">
      <c r="A33" s="2" t="n">
        <v>13</v>
      </c>
      <c r="B33" s="9" t="n">
        <v>12.225</v>
      </c>
      <c r="C33" s="10" t="n">
        <v>3.984</v>
      </c>
      <c r="D33" s="10" t="n">
        <v>0.0002</v>
      </c>
      <c r="E33" s="9" t="n">
        <v>100</v>
      </c>
      <c r="F33" s="2" t="inlineStr">
        <is>
          <t>*3D</t>
        </is>
      </c>
      <c r="G33" s="10">
        <f>B33-B32</f>
        <v/>
      </c>
    </row>
    <row r="34">
      <c r="A34" s="2" t="n">
        <v>14</v>
      </c>
      <c r="B34" s="9" t="n">
        <v>13.225</v>
      </c>
      <c r="C34" s="10" t="n">
        <v>3.984</v>
      </c>
      <c r="D34" s="10" t="n">
        <v>0</v>
      </c>
      <c r="E34" s="9" t="n">
        <v>100</v>
      </c>
      <c r="F34" s="2" t="inlineStr">
        <is>
          <t>*3E</t>
        </is>
      </c>
      <c r="G34" s="10">
        <f>B34-B33</f>
        <v/>
      </c>
    </row>
    <row r="35">
      <c r="A35" s="2" t="n">
        <v>15</v>
      </c>
      <c r="B35" s="9" t="n">
        <v>14.225</v>
      </c>
      <c r="C35" s="10" t="n">
        <v>3.988</v>
      </c>
      <c r="D35" s="10" t="n">
        <v>0.0002</v>
      </c>
      <c r="E35" s="9" t="n">
        <v>100</v>
      </c>
      <c r="F35" s="2" t="inlineStr">
        <is>
          <t>*37</t>
        </is>
      </c>
      <c r="G35" s="10">
        <f>B35-B34</f>
        <v/>
      </c>
    </row>
    <row r="36">
      <c r="A36" s="2" t="n">
        <v>16</v>
      </c>
      <c r="B36" s="9" t="n">
        <v>15.225</v>
      </c>
      <c r="C36" s="10" t="n">
        <v>3.988</v>
      </c>
      <c r="D36" s="10" t="n">
        <v>-0.0002</v>
      </c>
      <c r="E36" s="9" t="n">
        <v>100</v>
      </c>
      <c r="F36" s="2" t="inlineStr">
        <is>
          <t>*1B</t>
        </is>
      </c>
      <c r="G36" s="10">
        <f>B36-B35</f>
        <v/>
      </c>
    </row>
    <row r="37">
      <c r="A37" s="2" t="n">
        <v>17</v>
      </c>
      <c r="B37" s="9" t="n">
        <v>16.225</v>
      </c>
      <c r="C37" s="10" t="n">
        <v>3.988</v>
      </c>
      <c r="D37" s="10" t="n">
        <v>0</v>
      </c>
      <c r="E37" s="9" t="n">
        <v>100</v>
      </c>
      <c r="F37" s="2" t="inlineStr">
        <is>
          <t>*37</t>
        </is>
      </c>
      <c r="G37" s="10">
        <f>B37-B36</f>
        <v/>
      </c>
    </row>
    <row r="38">
      <c r="A38" s="2" t="n">
        <v>18</v>
      </c>
      <c r="B38" s="9" t="n">
        <v>17.225</v>
      </c>
      <c r="C38" s="10" t="n">
        <v>3.988</v>
      </c>
      <c r="D38" s="10" t="n">
        <v>0</v>
      </c>
      <c r="E38" s="9" t="n">
        <v>100</v>
      </c>
      <c r="F38" s="2" t="inlineStr">
        <is>
          <t>*36</t>
        </is>
      </c>
      <c r="G38" s="10">
        <f>B38-B37</f>
        <v/>
      </c>
    </row>
    <row r="39">
      <c r="A39" s="2" t="n">
        <v>19</v>
      </c>
      <c r="B39" s="9" t="n">
        <v>18.225</v>
      </c>
      <c r="C39" s="10" t="n">
        <v>3.988</v>
      </c>
      <c r="D39" s="10" t="n">
        <v>0</v>
      </c>
      <c r="E39" s="9" t="n">
        <v>100</v>
      </c>
      <c r="F39" s="2" t="inlineStr">
        <is>
          <t>*39</t>
        </is>
      </c>
      <c r="G39" s="10">
        <f>B39-B38</f>
        <v/>
      </c>
    </row>
    <row r="40">
      <c r="A40" s="2" t="n">
        <v>20</v>
      </c>
      <c r="B40" s="9" t="n">
        <v>19.225</v>
      </c>
      <c r="C40" s="10" t="n">
        <v>3.988</v>
      </c>
      <c r="D40" s="10" t="n">
        <v>-0.0002</v>
      </c>
      <c r="E40" s="9" t="n">
        <v>100</v>
      </c>
      <c r="F40" s="2" t="inlineStr">
        <is>
          <t>*17</t>
        </is>
      </c>
      <c r="G40" s="10">
        <f>B40-B39</f>
        <v/>
      </c>
    </row>
    <row r="41">
      <c r="A41" s="2" t="n">
        <v>21</v>
      </c>
      <c r="B41" s="9" t="n">
        <v>20.225</v>
      </c>
      <c r="C41" s="10" t="n">
        <v>3.984</v>
      </c>
      <c r="D41" s="10" t="n">
        <v>0</v>
      </c>
      <c r="E41" s="9" t="n">
        <v>100</v>
      </c>
      <c r="F41" s="2" t="inlineStr">
        <is>
          <t>*3E</t>
        </is>
      </c>
      <c r="G41" s="10">
        <f>B41-B40</f>
        <v/>
      </c>
    </row>
    <row r="42">
      <c r="A42" s="2" t="n">
        <v>22</v>
      </c>
      <c r="B42" s="9" t="n">
        <v>21.225</v>
      </c>
      <c r="C42" s="10" t="n">
        <v>3.988</v>
      </c>
      <c r="D42" s="10" t="n">
        <v>0</v>
      </c>
      <c r="E42" s="9" t="n">
        <v>100</v>
      </c>
      <c r="F42" s="2" t="inlineStr">
        <is>
          <t>*33</t>
        </is>
      </c>
      <c r="G42" s="10">
        <f>B42-B41</f>
        <v/>
      </c>
    </row>
    <row r="43">
      <c r="A43" s="2" t="n">
        <v>23</v>
      </c>
      <c r="B43" s="9" t="n">
        <v>22.225</v>
      </c>
      <c r="C43" s="10" t="n">
        <v>3.988</v>
      </c>
      <c r="D43" s="10" t="n">
        <v>-0.0002</v>
      </c>
      <c r="E43" s="9" t="n">
        <v>100</v>
      </c>
      <c r="F43" s="2" t="inlineStr">
        <is>
          <t>*1F</t>
        </is>
      </c>
      <c r="G43" s="10">
        <f>B43-B42</f>
        <v/>
      </c>
    </row>
    <row r="44">
      <c r="A44" s="2" t="n">
        <v>24</v>
      </c>
      <c r="B44" s="9" t="n">
        <v>23.225</v>
      </c>
      <c r="C44" s="10" t="n">
        <v>3.988</v>
      </c>
      <c r="D44" s="10" t="n">
        <v>0</v>
      </c>
      <c r="E44" s="9" t="n">
        <v>100</v>
      </c>
      <c r="F44" s="2" t="inlineStr">
        <is>
          <t>*31</t>
        </is>
      </c>
      <c r="G44" s="10">
        <f>B44-B43</f>
        <v/>
      </c>
    </row>
    <row r="45">
      <c r="A45" s="2" t="n">
        <v>25</v>
      </c>
      <c r="B45" s="9" t="n">
        <v>24.225</v>
      </c>
      <c r="C45" s="10" t="n">
        <v>3.988</v>
      </c>
      <c r="D45" s="10" t="n">
        <v>0</v>
      </c>
      <c r="E45" s="9" t="n">
        <v>100</v>
      </c>
      <c r="F45" s="2" t="inlineStr">
        <is>
          <t>*36</t>
        </is>
      </c>
      <c r="G45" s="10">
        <f>B45-B44</f>
        <v/>
      </c>
    </row>
    <row r="46">
      <c r="A46" s="2" t="n">
        <v>26</v>
      </c>
      <c r="B46" s="9" t="n">
        <v>25.225</v>
      </c>
      <c r="C46" s="10" t="n">
        <v>3.992</v>
      </c>
      <c r="D46" s="10" t="n">
        <v>-0.0002</v>
      </c>
      <c r="E46" s="9" t="n">
        <v>100</v>
      </c>
      <c r="F46" s="2" t="inlineStr">
        <is>
          <t>*13</t>
        </is>
      </c>
      <c r="G46" s="10">
        <f>B46-B45</f>
        <v/>
      </c>
    </row>
    <row r="47">
      <c r="A47" s="2" t="n">
        <v>27</v>
      </c>
      <c r="B47" s="9" t="n">
        <v>26.225</v>
      </c>
      <c r="C47" s="10" t="n">
        <v>3.988</v>
      </c>
      <c r="D47" s="10" t="n">
        <v>0</v>
      </c>
      <c r="E47" s="9" t="n">
        <v>100</v>
      </c>
      <c r="F47" s="2" t="inlineStr">
        <is>
          <t>*34</t>
        </is>
      </c>
      <c r="G47" s="10">
        <f>B47-B46</f>
        <v/>
      </c>
    </row>
    <row r="48">
      <c r="A48" s="2" t="n">
        <v>28</v>
      </c>
      <c r="B48" s="9" t="n">
        <v>27.225</v>
      </c>
      <c r="C48" s="10" t="n">
        <v>3.988</v>
      </c>
      <c r="D48" s="10" t="n">
        <v>0</v>
      </c>
      <c r="E48" s="9" t="n">
        <v>100</v>
      </c>
      <c r="F48" s="2" t="inlineStr">
        <is>
          <t>*35</t>
        </is>
      </c>
      <c r="G48" s="10">
        <f>B48-B47</f>
        <v/>
      </c>
    </row>
    <row r="49">
      <c r="A49" s="2" t="n">
        <v>29</v>
      </c>
      <c r="B49" s="9" t="n">
        <v>28.225</v>
      </c>
      <c r="C49" s="10" t="n">
        <v>3.984</v>
      </c>
      <c r="D49" s="10" t="n">
        <v>0</v>
      </c>
      <c r="E49" s="9" t="n">
        <v>100</v>
      </c>
      <c r="F49" s="2" t="inlineStr">
        <is>
          <t>*36</t>
        </is>
      </c>
      <c r="G49" s="10">
        <f>B49-B48</f>
        <v/>
      </c>
    </row>
    <row r="50">
      <c r="A50" s="2" t="n">
        <v>30</v>
      </c>
      <c r="B50" s="9" t="n">
        <v>29.225</v>
      </c>
      <c r="C50" s="10" t="n">
        <v>3.984</v>
      </c>
      <c r="D50" s="10" t="n">
        <v>-0.0002</v>
      </c>
      <c r="E50" s="9" t="n">
        <v>100</v>
      </c>
      <c r="F50" s="2" t="inlineStr">
        <is>
          <t>*18</t>
        </is>
      </c>
      <c r="G50" s="10">
        <f>B50-B49</f>
        <v/>
      </c>
    </row>
    <row r="51">
      <c r="A51" s="2" t="n">
        <v>31</v>
      </c>
      <c r="B51" s="9" t="n">
        <v>30.225</v>
      </c>
      <c r="C51" s="10" t="n">
        <v>3.992</v>
      </c>
      <c r="D51" s="10" t="n">
        <v>-0.0004</v>
      </c>
      <c r="E51" s="9" t="n">
        <v>100</v>
      </c>
      <c r="F51" s="2" t="inlineStr">
        <is>
          <t>*11</t>
        </is>
      </c>
      <c r="G51" s="10">
        <f>B51-B50</f>
        <v/>
      </c>
    </row>
    <row r="52">
      <c r="A52" s="2" t="n">
        <v>32</v>
      </c>
      <c r="B52" s="9" t="n">
        <v>31.225</v>
      </c>
      <c r="C52" s="10" t="n">
        <v>3.988</v>
      </c>
      <c r="D52" s="10" t="n">
        <v>0</v>
      </c>
      <c r="E52" s="9" t="n">
        <v>100</v>
      </c>
      <c r="F52" s="2" t="inlineStr">
        <is>
          <t>*32</t>
        </is>
      </c>
      <c r="G52" s="10">
        <f>B52-B51</f>
        <v/>
      </c>
    </row>
    <row r="53">
      <c r="A53" s="2" t="n">
        <v>33</v>
      </c>
      <c r="B53" s="9" t="n">
        <v>32.225</v>
      </c>
      <c r="C53" s="10" t="n">
        <v>3.988</v>
      </c>
      <c r="D53" s="10" t="n">
        <v>0</v>
      </c>
      <c r="E53" s="9" t="n">
        <v>100</v>
      </c>
      <c r="F53" s="2" t="inlineStr">
        <is>
          <t>*31</t>
        </is>
      </c>
      <c r="G53" s="10">
        <f>B53-B52</f>
        <v/>
      </c>
    </row>
    <row r="54">
      <c r="A54" s="2" t="n">
        <v>34</v>
      </c>
      <c r="B54" s="9" t="n">
        <v>33.225</v>
      </c>
      <c r="C54" s="10" t="n">
        <v>3.984</v>
      </c>
      <c r="D54" s="10" t="n">
        <v>0</v>
      </c>
      <c r="E54" s="9" t="n">
        <v>100</v>
      </c>
      <c r="F54" s="2" t="inlineStr">
        <is>
          <t>*3C</t>
        </is>
      </c>
      <c r="G54" s="10">
        <f>B54-B53</f>
        <v/>
      </c>
    </row>
    <row r="55">
      <c r="A55" s="2" t="n">
        <v>35</v>
      </c>
      <c r="B55" s="9" t="n">
        <v>34.225</v>
      </c>
      <c r="C55" s="10" t="n">
        <v>3.988</v>
      </c>
      <c r="D55" s="10" t="n">
        <v>0</v>
      </c>
      <c r="E55" s="9" t="n">
        <v>100</v>
      </c>
      <c r="F55" s="2" t="inlineStr">
        <is>
          <t>*37</t>
        </is>
      </c>
      <c r="G55" s="10">
        <f>B55-B54</f>
        <v/>
      </c>
    </row>
    <row r="56">
      <c r="A56" s="2" t="n">
        <v>36</v>
      </c>
      <c r="B56" s="9" t="n">
        <v>35.225</v>
      </c>
      <c r="C56" s="10" t="n">
        <v>3.988</v>
      </c>
      <c r="D56" s="10" t="n">
        <v>-0.0002</v>
      </c>
      <c r="E56" s="9" t="n">
        <v>100</v>
      </c>
      <c r="F56" s="2" t="inlineStr">
        <is>
          <t>*19</t>
        </is>
      </c>
      <c r="G56" s="10">
        <f>B56-B55</f>
        <v/>
      </c>
    </row>
    <row r="57">
      <c r="A57" s="2" t="n">
        <v>37</v>
      </c>
      <c r="B57" s="9" t="n">
        <v>36.225</v>
      </c>
      <c r="C57" s="10" t="n">
        <v>3.984</v>
      </c>
      <c r="D57" s="10" t="n">
        <v>0</v>
      </c>
      <c r="E57" s="9" t="n">
        <v>100</v>
      </c>
      <c r="F57" s="2" t="inlineStr">
        <is>
          <t>*39</t>
        </is>
      </c>
      <c r="G57" s="10">
        <f>B57-B56</f>
        <v/>
      </c>
    </row>
    <row r="58">
      <c r="A58" s="2" t="n">
        <v>38</v>
      </c>
      <c r="B58" s="9" t="n">
        <v>37.225</v>
      </c>
      <c r="C58" s="10" t="n">
        <v>3.988</v>
      </c>
      <c r="D58" s="10" t="n">
        <v>0</v>
      </c>
      <c r="E58" s="9" t="n">
        <v>100</v>
      </c>
      <c r="F58" s="2" t="inlineStr">
        <is>
          <t>*34</t>
        </is>
      </c>
      <c r="G58" s="10">
        <f>B58-B57</f>
        <v/>
      </c>
    </row>
    <row r="59">
      <c r="A59" s="2" t="n">
        <v>39</v>
      </c>
      <c r="B59" s="9" t="n">
        <v>38.225</v>
      </c>
      <c r="C59" s="10" t="n">
        <v>3.988</v>
      </c>
      <c r="D59" s="10" t="n">
        <v>0</v>
      </c>
      <c r="E59" s="9" t="n">
        <v>100</v>
      </c>
      <c r="F59" s="2" t="inlineStr">
        <is>
          <t>*3B</t>
        </is>
      </c>
      <c r="G59" s="10">
        <f>B59-B58</f>
        <v/>
      </c>
    </row>
    <row r="60">
      <c r="A60" s="2" t="n">
        <v>40</v>
      </c>
      <c r="B60" s="9" t="n">
        <v>39.225</v>
      </c>
      <c r="C60" s="10" t="n">
        <v>3.988</v>
      </c>
      <c r="D60" s="10" t="n">
        <v>0</v>
      </c>
      <c r="E60" s="9" t="n">
        <v>100</v>
      </c>
      <c r="F60" s="2" t="inlineStr">
        <is>
          <t>*3A</t>
        </is>
      </c>
      <c r="G60" s="10">
        <f>B60-B59</f>
        <v/>
      </c>
    </row>
    <row r="61">
      <c r="A61" s="2" t="n">
        <v>41</v>
      </c>
      <c r="B61" s="9" t="n">
        <v>40.225</v>
      </c>
      <c r="C61" s="10" t="n">
        <v>3.984</v>
      </c>
      <c r="D61" s="10" t="n">
        <v>0</v>
      </c>
      <c r="E61" s="9" t="n">
        <v>100</v>
      </c>
      <c r="F61" s="2" t="inlineStr">
        <is>
          <t>*38</t>
        </is>
      </c>
      <c r="G61" s="10">
        <f>B61-B60</f>
        <v/>
      </c>
    </row>
    <row r="62">
      <c r="A62" s="2" t="n">
        <v>42</v>
      </c>
      <c r="B62" s="9" t="n">
        <v>41.225</v>
      </c>
      <c r="C62" s="10" t="n">
        <v>3.988</v>
      </c>
      <c r="D62" s="10" t="n">
        <v>0</v>
      </c>
      <c r="E62" s="9" t="n">
        <v>100</v>
      </c>
      <c r="F62" s="2" t="inlineStr">
        <is>
          <t>*35</t>
        </is>
      </c>
      <c r="G62" s="10">
        <f>B62-B61</f>
        <v/>
      </c>
    </row>
    <row r="63">
      <c r="A63" s="2" t="n">
        <v>43</v>
      </c>
      <c r="B63" s="9" t="n">
        <v>42.225</v>
      </c>
      <c r="C63" s="10" t="n">
        <v>3.988</v>
      </c>
      <c r="D63" s="10" t="n">
        <v>-0.0002</v>
      </c>
      <c r="E63" s="9" t="n">
        <v>100</v>
      </c>
      <c r="F63" s="2" t="inlineStr">
        <is>
          <t>*19</t>
        </is>
      </c>
      <c r="G63" s="10">
        <f>B63-B62</f>
        <v/>
      </c>
    </row>
    <row r="64">
      <c r="A64" s="2" t="n">
        <v>44</v>
      </c>
      <c r="B64" s="9" t="n">
        <v>43.225</v>
      </c>
      <c r="C64" s="10" t="n">
        <v>3.988</v>
      </c>
      <c r="D64" s="10" t="n">
        <v>0</v>
      </c>
      <c r="E64" s="9" t="n">
        <v>100</v>
      </c>
      <c r="F64" s="2" t="inlineStr">
        <is>
          <t>*37</t>
        </is>
      </c>
      <c r="G64" s="10">
        <f>B64-B63</f>
        <v/>
      </c>
    </row>
    <row r="65">
      <c r="A65" s="2" t="n">
        <v>45</v>
      </c>
      <c r="B65" s="9" t="n">
        <v>44.225</v>
      </c>
      <c r="C65" s="10" t="n">
        <v>3.988</v>
      </c>
      <c r="D65" s="10" t="n">
        <v>-0.0002</v>
      </c>
      <c r="E65" s="9" t="n">
        <v>100</v>
      </c>
      <c r="F65" s="2" t="inlineStr">
        <is>
          <t>*1F</t>
        </is>
      </c>
      <c r="G65" s="10">
        <f>B65-B64</f>
        <v/>
      </c>
    </row>
    <row r="66">
      <c r="A66" s="2" t="n">
        <v>46</v>
      </c>
      <c r="B66" s="9" t="n">
        <v>45.225</v>
      </c>
      <c r="C66" s="10" t="n">
        <v>3.988</v>
      </c>
      <c r="D66" s="10" t="n">
        <v>0</v>
      </c>
      <c r="E66" s="9" t="n">
        <v>100</v>
      </c>
      <c r="F66" s="2" t="inlineStr">
        <is>
          <t>*31</t>
        </is>
      </c>
      <c r="G66" s="10">
        <f>B66-B65</f>
        <v/>
      </c>
    </row>
    <row r="67">
      <c r="A67" s="2" t="n">
        <v>47</v>
      </c>
      <c r="B67" s="9" t="n">
        <v>46.225</v>
      </c>
      <c r="C67" s="10" t="n">
        <v>3.988</v>
      </c>
      <c r="D67" s="10" t="n">
        <v>-0.0002</v>
      </c>
      <c r="E67" s="9" t="n">
        <v>100</v>
      </c>
      <c r="F67" s="2" t="inlineStr">
        <is>
          <t>*1D</t>
        </is>
      </c>
      <c r="G67" s="10">
        <f>B67-B66</f>
        <v/>
      </c>
    </row>
    <row r="68">
      <c r="A68" s="2" t="n">
        <v>48</v>
      </c>
      <c r="B68" s="9" t="n">
        <v>47.225</v>
      </c>
      <c r="C68" s="10" t="n">
        <v>3.984</v>
      </c>
      <c r="D68" s="10" t="n">
        <v>0</v>
      </c>
      <c r="E68" s="9" t="n">
        <v>100</v>
      </c>
      <c r="F68" s="2" t="inlineStr">
        <is>
          <t>*3F</t>
        </is>
      </c>
      <c r="G68" s="10">
        <f>B68-B67</f>
        <v/>
      </c>
    </row>
    <row r="69">
      <c r="A69" s="2" t="n">
        <v>49</v>
      </c>
      <c r="B69" s="9" t="n">
        <v>48.225</v>
      </c>
      <c r="C69" s="10" t="n">
        <v>3.988</v>
      </c>
      <c r="D69" s="10" t="n">
        <v>0</v>
      </c>
      <c r="E69" s="9" t="n">
        <v>100</v>
      </c>
      <c r="F69" s="2" t="inlineStr">
        <is>
          <t>*3C</t>
        </is>
      </c>
      <c r="G69" s="10">
        <f>B69-B68</f>
        <v/>
      </c>
    </row>
    <row r="70">
      <c r="A70" s="2" t="n">
        <v>50</v>
      </c>
      <c r="B70" s="9" t="n">
        <v>49.225</v>
      </c>
      <c r="C70" s="10" t="n">
        <v>3.988</v>
      </c>
      <c r="D70" s="10" t="n">
        <v>0</v>
      </c>
      <c r="E70" s="9" t="n">
        <v>100</v>
      </c>
      <c r="F70" s="2" t="inlineStr">
        <is>
          <t>*3D</t>
        </is>
      </c>
      <c r="G70" s="10">
        <f>B70-B69</f>
        <v/>
      </c>
    </row>
    <row r="71">
      <c r="A71" s="2" t="n">
        <v>51</v>
      </c>
      <c r="B71" s="9" t="n">
        <v>50.225</v>
      </c>
      <c r="C71" s="10" t="n">
        <v>3.984</v>
      </c>
      <c r="D71" s="10" t="n">
        <v>0</v>
      </c>
      <c r="E71" s="9" t="n">
        <v>100</v>
      </c>
      <c r="F71" s="2" t="inlineStr">
        <is>
          <t>*39</t>
        </is>
      </c>
      <c r="G71" s="10">
        <f>B71-B70</f>
        <v/>
      </c>
    </row>
    <row r="72">
      <c r="A72" s="2" t="n">
        <v>52</v>
      </c>
      <c r="B72" s="9" t="n">
        <v>51.225</v>
      </c>
      <c r="C72" s="10" t="n">
        <v>3.988</v>
      </c>
      <c r="D72" s="10" t="n">
        <v>0</v>
      </c>
      <c r="E72" s="9" t="n">
        <v>100</v>
      </c>
      <c r="F72" s="2" t="inlineStr">
        <is>
          <t>*34</t>
        </is>
      </c>
      <c r="G72" s="10">
        <f>B72-B71</f>
        <v/>
      </c>
    </row>
    <row r="73">
      <c r="A73" s="2" t="n">
        <v>53</v>
      </c>
      <c r="B73" s="9" t="n">
        <v>52.225</v>
      </c>
      <c r="C73" s="10" t="n">
        <v>3.984</v>
      </c>
      <c r="D73" s="10" t="n">
        <v>-0.0002</v>
      </c>
      <c r="E73" s="9" t="n">
        <v>100</v>
      </c>
      <c r="F73" s="2" t="inlineStr">
        <is>
          <t>*14</t>
        </is>
      </c>
      <c r="G73" s="10">
        <f>B73-B72</f>
        <v/>
      </c>
    </row>
    <row r="74">
      <c r="A74" s="2" t="n">
        <v>54</v>
      </c>
      <c r="B74" s="9" t="n">
        <v>53.225</v>
      </c>
      <c r="C74" s="10" t="n">
        <v>3.984</v>
      </c>
      <c r="D74" s="10" t="n">
        <v>-0.0002</v>
      </c>
      <c r="E74" s="9" t="n">
        <v>100</v>
      </c>
      <c r="F74" s="2" t="inlineStr">
        <is>
          <t>*15</t>
        </is>
      </c>
      <c r="G74" s="10">
        <f>B74-B73</f>
        <v/>
      </c>
    </row>
    <row r="75">
      <c r="A75" s="2" t="n">
        <v>55</v>
      </c>
      <c r="B75" s="9" t="n">
        <v>54.225</v>
      </c>
      <c r="C75" s="10" t="n">
        <v>3.988</v>
      </c>
      <c r="D75" s="10" t="n">
        <v>-0.0002</v>
      </c>
      <c r="E75" s="9" t="n">
        <v>100</v>
      </c>
      <c r="F75" s="2" t="inlineStr">
        <is>
          <t>*1E</t>
        </is>
      </c>
      <c r="G75" s="10">
        <f>B75-B74</f>
        <v/>
      </c>
    </row>
    <row r="76">
      <c r="A76" s="2" t="n">
        <v>56</v>
      </c>
      <c r="B76" s="9" t="n">
        <v>55.225</v>
      </c>
      <c r="C76" s="10" t="n">
        <v>3.988</v>
      </c>
      <c r="D76" s="10" t="n">
        <v>0</v>
      </c>
      <c r="E76" s="9" t="n">
        <v>100</v>
      </c>
      <c r="F76" s="2" t="inlineStr">
        <is>
          <t>*30</t>
        </is>
      </c>
      <c r="G76" s="10">
        <f>B76-B75</f>
        <v/>
      </c>
    </row>
    <row r="77">
      <c r="A77" s="2" t="n">
        <v>57</v>
      </c>
      <c r="B77" s="9" t="n">
        <v>56.225</v>
      </c>
      <c r="C77" s="10" t="n">
        <v>3.984</v>
      </c>
      <c r="D77" s="10" t="n">
        <v>0</v>
      </c>
      <c r="E77" s="9" t="n">
        <v>100</v>
      </c>
      <c r="F77" s="2" t="inlineStr">
        <is>
          <t>*3F</t>
        </is>
      </c>
      <c r="G77" s="10">
        <f>B77-B76</f>
        <v/>
      </c>
    </row>
    <row r="78">
      <c r="A78" s="2" t="n">
        <v>58</v>
      </c>
      <c r="B78" s="9" t="n">
        <v>57.225</v>
      </c>
      <c r="C78" s="10" t="n">
        <v>3.988</v>
      </c>
      <c r="D78" s="10" t="n">
        <v>-0.0002</v>
      </c>
      <c r="E78" s="9" t="n">
        <v>100</v>
      </c>
      <c r="F78" s="2" t="inlineStr">
        <is>
          <t>*1D</t>
        </is>
      </c>
      <c r="G78" s="10">
        <f>B78-B77</f>
        <v/>
      </c>
    </row>
    <row r="79">
      <c r="A79" s="2" t="n">
        <v>59</v>
      </c>
      <c r="B79" s="9" t="n">
        <v>58.225</v>
      </c>
      <c r="C79" s="10" t="n">
        <v>3.988</v>
      </c>
      <c r="D79" s="10" t="n">
        <v>0</v>
      </c>
      <c r="E79" s="9" t="n">
        <v>100</v>
      </c>
      <c r="F79" s="2" t="inlineStr">
        <is>
          <t>*3D</t>
        </is>
      </c>
      <c r="G79" s="10">
        <f>B79-B78</f>
        <v/>
      </c>
    </row>
    <row r="80">
      <c r="A80" s="2" t="n">
        <v>60</v>
      </c>
      <c r="B80" s="9" t="n">
        <v>59.225</v>
      </c>
      <c r="C80" s="10" t="n">
        <v>3.984</v>
      </c>
      <c r="D80" s="10" t="n">
        <v>-0.0002</v>
      </c>
      <c r="E80" s="9" t="n">
        <v>100</v>
      </c>
      <c r="F80" s="2" t="inlineStr">
        <is>
          <t>*1F</t>
        </is>
      </c>
      <c r="G80" s="10">
        <f>B80-B79</f>
        <v/>
      </c>
    </row>
    <row r="81">
      <c r="A81" s="2" t="n">
        <v>61</v>
      </c>
      <c r="B81" s="9" t="n">
        <v>60.225</v>
      </c>
      <c r="C81" s="10" t="n">
        <v>3.988</v>
      </c>
      <c r="D81" s="10" t="n">
        <v>-0.0002</v>
      </c>
      <c r="E81" s="9" t="n">
        <v>100</v>
      </c>
      <c r="F81" s="2" t="inlineStr">
        <is>
          <t>*19</t>
        </is>
      </c>
      <c r="G81" s="10">
        <f>B81-B80</f>
        <v/>
      </c>
    </row>
    <row r="82">
      <c r="A82" s="2" t="n">
        <v>62</v>
      </c>
      <c r="B82" s="9" t="n">
        <v>61.225</v>
      </c>
      <c r="C82" s="10" t="n">
        <v>3.988</v>
      </c>
      <c r="D82" s="10" t="n">
        <v>0.0004</v>
      </c>
      <c r="E82" s="9" t="n">
        <v>100</v>
      </c>
      <c r="F82" s="2" t="inlineStr">
        <is>
          <t>*33</t>
        </is>
      </c>
      <c r="G82" s="10">
        <f>B82-B81</f>
        <v/>
      </c>
    </row>
    <row r="83">
      <c r="A83" s="2" t="n">
        <v>63</v>
      </c>
      <c r="B83" s="9" t="n">
        <v>62.225</v>
      </c>
      <c r="C83" s="10" t="n">
        <v>3.984</v>
      </c>
      <c r="D83" s="10" t="n">
        <v>0.0002</v>
      </c>
      <c r="E83" s="9" t="n">
        <v>100</v>
      </c>
      <c r="F83" s="2" t="inlineStr">
        <is>
          <t>*3A</t>
        </is>
      </c>
      <c r="G83" s="10">
        <f>B83-B82</f>
        <v/>
      </c>
    </row>
    <row r="84">
      <c r="A84" s="2" t="n">
        <v>64</v>
      </c>
      <c r="B84" s="9" t="n">
        <v>63.225</v>
      </c>
      <c r="C84" s="10" t="n">
        <v>3.988</v>
      </c>
      <c r="D84" s="10" t="n">
        <v>0</v>
      </c>
      <c r="E84" s="9" t="n">
        <v>100</v>
      </c>
      <c r="F84" s="2" t="inlineStr">
        <is>
          <t>*35</t>
        </is>
      </c>
      <c r="G84" s="10">
        <f>B84-B83</f>
        <v/>
      </c>
    </row>
    <row r="85">
      <c r="A85" s="2" t="n">
        <v>65</v>
      </c>
      <c r="B85" s="9" t="n">
        <v>64.22499999999999</v>
      </c>
      <c r="C85" s="10" t="n">
        <v>3.988</v>
      </c>
      <c r="D85" s="10" t="n">
        <v>0</v>
      </c>
      <c r="E85" s="9" t="n">
        <v>100</v>
      </c>
      <c r="F85" s="2" t="inlineStr">
        <is>
          <t>*32</t>
        </is>
      </c>
      <c r="G85" s="10">
        <f>B85-B84</f>
        <v/>
      </c>
    </row>
    <row r="86">
      <c r="A86" s="2" t="n">
        <v>66</v>
      </c>
      <c r="B86" s="9" t="n">
        <v>65.22499999999999</v>
      </c>
      <c r="C86" s="10" t="n">
        <v>3.988</v>
      </c>
      <c r="D86" s="10" t="n">
        <v>0</v>
      </c>
      <c r="E86" s="9" t="n">
        <v>100</v>
      </c>
      <c r="F86" s="2" t="inlineStr">
        <is>
          <t>*33</t>
        </is>
      </c>
      <c r="G86" s="10">
        <f>B86-B85</f>
        <v/>
      </c>
    </row>
    <row r="87">
      <c r="A87" s="2" t="n">
        <v>67</v>
      </c>
      <c r="B87" s="9" t="n">
        <v>66.22499999999999</v>
      </c>
      <c r="C87" s="10" t="n">
        <v>3.988</v>
      </c>
      <c r="D87" s="10" t="n">
        <v>0</v>
      </c>
      <c r="E87" s="9" t="n">
        <v>100</v>
      </c>
      <c r="F87" s="2" t="inlineStr">
        <is>
          <t>*30</t>
        </is>
      </c>
      <c r="G87" s="10">
        <f>B87-B86</f>
        <v/>
      </c>
    </row>
    <row r="88">
      <c r="A88" s="2" t="n">
        <v>68</v>
      </c>
      <c r="B88" s="9" t="n">
        <v>67.22499999999999</v>
      </c>
      <c r="C88" s="10" t="n">
        <v>3.988</v>
      </c>
      <c r="D88" s="10" t="n">
        <v>-0.0002</v>
      </c>
      <c r="E88" s="9" t="n">
        <v>100</v>
      </c>
      <c r="F88" s="2" t="inlineStr">
        <is>
          <t>*1E</t>
        </is>
      </c>
      <c r="G88" s="10">
        <f>B88-B87</f>
        <v/>
      </c>
    </row>
    <row r="89">
      <c r="A89" s="2" t="n">
        <v>69</v>
      </c>
      <c r="B89" s="9" t="n">
        <v>68.22499999999999</v>
      </c>
      <c r="C89" s="10" t="n">
        <v>3.988</v>
      </c>
      <c r="D89" s="10" t="n">
        <v>-0.0002</v>
      </c>
      <c r="E89" s="9" t="n">
        <v>100</v>
      </c>
      <c r="F89" s="2" t="inlineStr">
        <is>
          <t>*11</t>
        </is>
      </c>
      <c r="G89" s="10">
        <f>B89-B88</f>
        <v/>
      </c>
    </row>
    <row r="90">
      <c r="A90" s="2" t="n">
        <v>70</v>
      </c>
      <c r="B90" s="9" t="n">
        <v>69.22499999999999</v>
      </c>
      <c r="C90" s="10" t="n">
        <v>3.988</v>
      </c>
      <c r="D90" s="10" t="n">
        <v>-0.0002</v>
      </c>
      <c r="E90" s="9" t="n">
        <v>100</v>
      </c>
      <c r="F90" s="2" t="inlineStr">
        <is>
          <t>*10</t>
        </is>
      </c>
      <c r="G90" s="10">
        <f>B90-B89</f>
        <v/>
      </c>
    </row>
    <row r="91">
      <c r="A91" s="2" t="n">
        <v>71</v>
      </c>
      <c r="B91" s="9" t="n">
        <v>70.22499999999999</v>
      </c>
      <c r="C91" s="10" t="n">
        <v>3.988</v>
      </c>
      <c r="D91" s="10" t="n">
        <v>-0.0002</v>
      </c>
      <c r="E91" s="9" t="n">
        <v>100</v>
      </c>
      <c r="F91" s="2" t="inlineStr">
        <is>
          <t>*18</t>
        </is>
      </c>
      <c r="G91" s="10">
        <f>B91-B90</f>
        <v/>
      </c>
    </row>
    <row r="92">
      <c r="A92" s="2" t="n">
        <v>72</v>
      </c>
      <c r="B92" s="9" t="n">
        <v>71.22499999999999</v>
      </c>
      <c r="C92" s="10" t="n">
        <v>3.984</v>
      </c>
      <c r="D92" s="10" t="n">
        <v>-0.0002</v>
      </c>
      <c r="E92" s="9" t="n">
        <v>100</v>
      </c>
      <c r="F92" s="2" t="inlineStr">
        <is>
          <t>*15</t>
        </is>
      </c>
      <c r="G92" s="10">
        <f>B92-B91</f>
        <v/>
      </c>
    </row>
    <row r="93">
      <c r="A93" s="2" t="n">
        <v>73</v>
      </c>
      <c r="B93" s="9" t="n">
        <v>72.22499999999999</v>
      </c>
      <c r="C93" s="10" t="n">
        <v>3.988</v>
      </c>
      <c r="D93" s="10" t="n">
        <v>0</v>
      </c>
      <c r="E93" s="9" t="n">
        <v>100</v>
      </c>
      <c r="F93" s="2" t="inlineStr">
        <is>
          <t>*35</t>
        </is>
      </c>
      <c r="G93" s="10">
        <f>B93-B92</f>
        <v/>
      </c>
    </row>
    <row r="94">
      <c r="A94" s="2" t="n">
        <v>74</v>
      </c>
      <c r="B94" s="9" t="n">
        <v>73.22499999999999</v>
      </c>
      <c r="C94" s="10" t="n">
        <v>3.988</v>
      </c>
      <c r="D94" s="10" t="n">
        <v>-0.0002</v>
      </c>
      <c r="E94" s="9" t="n">
        <v>100</v>
      </c>
      <c r="F94" s="2" t="inlineStr">
        <is>
          <t>*1B</t>
        </is>
      </c>
      <c r="G94" s="10">
        <f>B94-B93</f>
        <v/>
      </c>
    </row>
    <row r="95">
      <c r="A95" s="2" t="n">
        <v>75</v>
      </c>
      <c r="B95" s="9" t="n">
        <v>74.22499999999999</v>
      </c>
      <c r="C95" s="10" t="n">
        <v>3.988</v>
      </c>
      <c r="D95" s="10" t="n">
        <v>0</v>
      </c>
      <c r="E95" s="9" t="n">
        <v>100</v>
      </c>
      <c r="F95" s="2" t="inlineStr">
        <is>
          <t>*33</t>
        </is>
      </c>
      <c r="G95" s="10">
        <f>B95-B94</f>
        <v/>
      </c>
    </row>
    <row r="96">
      <c r="A96" s="2" t="n">
        <v>76</v>
      </c>
      <c r="B96" s="9" t="n">
        <v>75.22499999999999</v>
      </c>
      <c r="C96" s="10" t="n">
        <v>3.984</v>
      </c>
      <c r="D96" s="10" t="n">
        <v>-0.0002</v>
      </c>
      <c r="E96" s="9" t="n">
        <v>100</v>
      </c>
      <c r="F96" s="2" t="inlineStr">
        <is>
          <t>*11</t>
        </is>
      </c>
      <c r="G96" s="10">
        <f>B96-B95</f>
        <v/>
      </c>
    </row>
    <row r="97">
      <c r="A97" s="2" t="n">
        <v>77</v>
      </c>
      <c r="B97" s="9" t="n">
        <v>76.22499999999999</v>
      </c>
      <c r="C97" s="10" t="n">
        <v>3.988</v>
      </c>
      <c r="D97" s="10" t="n">
        <v>0</v>
      </c>
      <c r="E97" s="9" t="n">
        <v>100</v>
      </c>
      <c r="F97" s="2" t="inlineStr">
        <is>
          <t>*31</t>
        </is>
      </c>
      <c r="G97" s="10">
        <f>B97-B96</f>
        <v/>
      </c>
    </row>
    <row r="98">
      <c r="A98" s="2" t="n">
        <v>78</v>
      </c>
      <c r="B98" s="9" t="n">
        <v>77.22499999999999</v>
      </c>
      <c r="C98" s="10" t="n">
        <v>3.988</v>
      </c>
      <c r="D98" s="10" t="n">
        <v>0</v>
      </c>
      <c r="E98" s="9" t="n">
        <v>100</v>
      </c>
      <c r="F98" s="2" t="inlineStr">
        <is>
          <t>*30</t>
        </is>
      </c>
      <c r="G98" s="10">
        <f>B98-B97</f>
        <v/>
      </c>
    </row>
    <row r="99">
      <c r="A99" s="2" t="n">
        <v>79</v>
      </c>
      <c r="B99" s="9" t="n">
        <v>78.22499999999999</v>
      </c>
      <c r="C99" s="10" t="n">
        <v>3.988</v>
      </c>
      <c r="D99" s="10" t="n">
        <v>0</v>
      </c>
      <c r="E99" s="9" t="n">
        <v>100</v>
      </c>
      <c r="F99" s="2" t="inlineStr">
        <is>
          <t>*3F</t>
        </is>
      </c>
      <c r="G99" s="10">
        <f>B99-B98</f>
        <v/>
      </c>
    </row>
    <row r="100">
      <c r="A100" s="2" t="n">
        <v>80</v>
      </c>
      <c r="B100" s="9" t="n">
        <v>79.22499999999999</v>
      </c>
      <c r="C100" s="10" t="n">
        <v>3.988</v>
      </c>
      <c r="D100" s="10" t="n">
        <v>0</v>
      </c>
      <c r="E100" s="9" t="n">
        <v>100</v>
      </c>
      <c r="F100" s="2" t="inlineStr">
        <is>
          <t>*3E</t>
        </is>
      </c>
      <c r="G100" s="10">
        <f>B100-B99</f>
        <v/>
      </c>
    </row>
    <row r="101">
      <c r="A101" s="2" t="n">
        <v>81</v>
      </c>
      <c r="B101" s="9" t="n">
        <v>80.22499999999999</v>
      </c>
      <c r="C101" s="10" t="n">
        <v>3.984</v>
      </c>
      <c r="D101" s="10" t="n">
        <v>0.0002</v>
      </c>
      <c r="E101" s="9" t="n">
        <v>100</v>
      </c>
      <c r="F101" s="2" t="inlineStr">
        <is>
          <t>*36</t>
        </is>
      </c>
      <c r="G101" s="10">
        <f>B101-B100</f>
        <v/>
      </c>
    </row>
    <row r="102">
      <c r="A102" s="2" t="n">
        <v>82</v>
      </c>
      <c r="B102" s="9" t="n">
        <v>81.22499999999999</v>
      </c>
      <c r="C102" s="10" t="n">
        <v>3.988</v>
      </c>
      <c r="D102" s="10" t="n">
        <v>0.0002</v>
      </c>
      <c r="E102" s="9" t="n">
        <v>100</v>
      </c>
      <c r="F102" s="2" t="inlineStr">
        <is>
          <t>*3B</t>
        </is>
      </c>
      <c r="G102" s="10">
        <f>B102-B101</f>
        <v/>
      </c>
    </row>
    <row r="103">
      <c r="A103" s="2" t="n">
        <v>83</v>
      </c>
      <c r="B103" s="9" t="n">
        <v>82.22499999999999</v>
      </c>
      <c r="C103" s="10" t="n">
        <v>3.988</v>
      </c>
      <c r="D103" s="10" t="n">
        <v>0</v>
      </c>
      <c r="E103" s="9" t="n">
        <v>100</v>
      </c>
      <c r="F103" s="2" t="inlineStr">
        <is>
          <t>*3A</t>
        </is>
      </c>
      <c r="G103" s="10">
        <f>B103-B102</f>
        <v/>
      </c>
    </row>
  </sheetData>
  <mergeCells count="5">
    <mergeCell ref="A16:E16"/>
    <mergeCell ref="A15:E15"/>
    <mergeCell ref="A2:G3"/>
    <mergeCell ref="A17:E17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3" customWidth="1" min="5" max="5"/>
  </cols>
  <sheetData>
    <row r="1">
      <c r="A1" s="1" t="inlineStr">
        <is>
          <t>Demo - Temperature</t>
        </is>
      </c>
    </row>
    <row r="2">
      <c r="A2" s="7" t="inlineStr">
        <is>
          <t>LM35 fitted and working. INA219 off the I2C bus at capture time, so voltage and current were refused rather than reported as zero.</t>
        </is>
      </c>
    </row>
    <row r="3"/>
    <row r="5">
      <c r="A5" s="3" t="inlineStr">
        <is>
          <t>Rig declaration (HELLO line)</t>
        </is>
      </c>
    </row>
    <row r="6">
      <c r="A6" s="2" t="inlineStr">
        <is>
          <t>schema</t>
        </is>
      </c>
      <c r="B6" s="2" t="inlineStr">
        <is>
          <t>beacon.telemetry.v1</t>
        </is>
      </c>
    </row>
    <row r="7">
      <c r="A7" s="2" t="inlineStr">
        <is>
          <t>cell_id</t>
        </is>
      </c>
      <c r="B7" s="2" t="inlineStr">
        <is>
          <t>RIG_01</t>
        </is>
      </c>
    </row>
    <row r="8">
      <c r="A8" s="2" t="inlineStr">
        <is>
          <t>device</t>
        </is>
      </c>
      <c r="B8" s="2" t="inlineStr">
        <is>
          <t>esp8266</t>
        </is>
      </c>
    </row>
    <row r="9">
      <c r="A9" s="2" t="inlineStr">
        <is>
          <t>firmware</t>
        </is>
      </c>
      <c r="B9" s="2" t="inlineStr">
        <is>
          <t>beacon-rig-reference/1.0</t>
        </is>
      </c>
    </row>
    <row r="10">
      <c r="A10" s="2" t="inlineStr">
        <is>
          <t>period_ms</t>
        </is>
      </c>
      <c r="B10" s="2" t="n">
        <v>1000</v>
      </c>
    </row>
    <row r="11">
      <c r="A11" s="2" t="inlineStr">
        <is>
          <t>capacity_ah</t>
        </is>
      </c>
      <c r="B11" s="2" t="n">
        <v>2.2</v>
      </c>
    </row>
    <row r="12">
      <c r="A12" s="2" t="inlineStr">
        <is>
          <t>fields</t>
        </is>
      </c>
      <c r="B12" s="2" t="inlineStr">
        <is>
          <t>t, tc</t>
        </is>
      </c>
    </row>
    <row r="14">
      <c r="A14" s="3" t="inlineStr">
        <is>
          <t>Status lines emitted by the rig</t>
        </is>
      </c>
    </row>
    <row r="15">
      <c r="A15" s="2" t="inlineStr">
        <is>
          <t>INA219 not responding on I2C 0x40 - voltage and current refused</t>
        </is>
      </c>
    </row>
    <row r="16">
      <c r="A16" s="2" t="inlineStr">
        <is>
          <t>LM35 ready on A0</t>
        </is>
      </c>
    </row>
    <row r="17">
      <c r="A17" s="2" t="inlineStr">
        <is>
          <t>rig started</t>
        </is>
      </c>
    </row>
    <row r="18">
      <c r="A18" s="2" t="inlineStr">
        <is>
          <t>temperature channel available</t>
        </is>
      </c>
    </row>
    <row r="20">
      <c r="A20" s="8" t="inlineStr">
        <is>
          <t>Sample #</t>
        </is>
      </c>
      <c r="B20" s="8" t="inlineStr">
        <is>
          <t>Elapsed (s)</t>
        </is>
      </c>
      <c r="C20" s="8" t="inlineStr">
        <is>
          <t>Temperature (C)</t>
        </is>
      </c>
      <c r="D20" s="8" t="inlineStr">
        <is>
          <t>Checksum</t>
        </is>
      </c>
      <c r="E20" s="8" t="inlineStr">
        <is>
          <t>Interval (s)</t>
        </is>
      </c>
    </row>
    <row r="21">
      <c r="A21" s="2" t="n">
        <v>1</v>
      </c>
      <c r="B21" s="9" t="n">
        <v>0.201</v>
      </c>
      <c r="C21" s="9" t="n">
        <v>32.178</v>
      </c>
      <c r="D21" s="2" t="inlineStr">
        <is>
          <t>*75</t>
        </is>
      </c>
    </row>
    <row r="22">
      <c r="A22" s="2" t="n">
        <v>2</v>
      </c>
      <c r="B22" s="9" t="n">
        <v>1.201</v>
      </c>
      <c r="C22" s="9" t="n">
        <v>32.197</v>
      </c>
      <c r="D22" s="2" t="inlineStr">
        <is>
          <t>*75</t>
        </is>
      </c>
      <c r="E22" s="10">
        <f>B22-B21</f>
        <v/>
      </c>
    </row>
    <row r="23">
      <c r="A23" s="2" t="n">
        <v>3</v>
      </c>
      <c r="B23" s="9" t="n">
        <v>2.201</v>
      </c>
      <c r="C23" s="9" t="n">
        <v>32.197</v>
      </c>
      <c r="D23" s="2" t="inlineStr">
        <is>
          <t>*76</t>
        </is>
      </c>
      <c r="E23" s="10">
        <f>B23-B22</f>
        <v/>
      </c>
    </row>
    <row r="24">
      <c r="A24" s="2" t="n">
        <v>4</v>
      </c>
      <c r="B24" s="9" t="n">
        <v>3.201</v>
      </c>
      <c r="C24" s="9" t="n">
        <v>32.188</v>
      </c>
      <c r="D24" s="2" t="inlineStr">
        <is>
          <t>*79</t>
        </is>
      </c>
      <c r="E24" s="10">
        <f>B24-B23</f>
        <v/>
      </c>
    </row>
    <row r="25">
      <c r="A25" s="2" t="n">
        <v>5</v>
      </c>
      <c r="B25" s="9" t="n">
        <v>4.201</v>
      </c>
      <c r="C25" s="9" t="n">
        <v>32.188</v>
      </c>
      <c r="D25" s="2" t="inlineStr">
        <is>
          <t>*7E</t>
        </is>
      </c>
      <c r="E25" s="10">
        <f>B25-B24</f>
        <v/>
      </c>
    </row>
    <row r="26">
      <c r="A26" s="2" t="n">
        <v>6</v>
      </c>
      <c r="B26" s="9" t="n">
        <v>5.201</v>
      </c>
      <c r="C26" s="9" t="n">
        <v>32.188</v>
      </c>
      <c r="D26" s="2" t="inlineStr">
        <is>
          <t>*7F</t>
        </is>
      </c>
      <c r="E26" s="10">
        <f>B26-B25</f>
        <v/>
      </c>
    </row>
    <row r="27">
      <c r="A27" s="2" t="n">
        <v>7</v>
      </c>
      <c r="B27" s="9" t="n">
        <v>6.201</v>
      </c>
      <c r="C27" s="9" t="n">
        <v>32.188</v>
      </c>
      <c r="D27" s="2" t="inlineStr">
        <is>
          <t>*7C</t>
        </is>
      </c>
      <c r="E27" s="10">
        <f>B27-B26</f>
        <v/>
      </c>
    </row>
    <row r="28">
      <c r="A28" s="2" t="n">
        <v>8</v>
      </c>
      <c r="B28" s="9" t="n">
        <v>7.201</v>
      </c>
      <c r="C28" s="9" t="n">
        <v>32.168</v>
      </c>
      <c r="D28" s="2" t="inlineStr">
        <is>
          <t>*73</t>
        </is>
      </c>
      <c r="E28" s="10">
        <f>B28-B27</f>
        <v/>
      </c>
    </row>
    <row r="29">
      <c r="A29" s="2" t="n">
        <v>9</v>
      </c>
      <c r="B29" s="9" t="n">
        <v>8.201000000000001</v>
      </c>
      <c r="C29" s="9" t="n">
        <v>32.168</v>
      </c>
      <c r="D29" s="2" t="inlineStr">
        <is>
          <t>*7C</t>
        </is>
      </c>
      <c r="E29" s="10">
        <f>B29-B28</f>
        <v/>
      </c>
    </row>
    <row r="30">
      <c r="A30" s="2" t="n">
        <v>10</v>
      </c>
      <c r="B30" s="9" t="n">
        <v>9.201000000000001</v>
      </c>
      <c r="C30" s="9" t="n">
        <v>32.178</v>
      </c>
      <c r="D30" s="2" t="inlineStr">
        <is>
          <t>*7C</t>
        </is>
      </c>
      <c r="E30" s="10">
        <f>B30-B29</f>
        <v/>
      </c>
    </row>
    <row r="31">
      <c r="A31" s="2" t="n">
        <v>11</v>
      </c>
      <c r="B31" s="9" t="n">
        <v>10.201</v>
      </c>
      <c r="C31" s="9" t="n">
        <v>32.178</v>
      </c>
      <c r="D31" s="2" t="inlineStr">
        <is>
          <t>*44</t>
        </is>
      </c>
      <c r="E31" s="10">
        <f>B31-B30</f>
        <v/>
      </c>
    </row>
    <row r="32">
      <c r="A32" s="2" t="n">
        <v>12</v>
      </c>
      <c r="B32" s="9" t="n">
        <v>11.201</v>
      </c>
      <c r="C32" s="9" t="n">
        <v>32.178</v>
      </c>
      <c r="D32" s="2" t="inlineStr">
        <is>
          <t>*45</t>
        </is>
      </c>
      <c r="E32" s="10">
        <f>B32-B31</f>
        <v/>
      </c>
    </row>
    <row r="33">
      <c r="A33" s="2" t="n">
        <v>13</v>
      </c>
      <c r="B33" s="9" t="n">
        <v>12.201</v>
      </c>
      <c r="C33" s="9" t="n">
        <v>32.139</v>
      </c>
      <c r="D33" s="2" t="inlineStr">
        <is>
          <t>*43</t>
        </is>
      </c>
      <c r="E33" s="10">
        <f>B33-B32</f>
        <v/>
      </c>
    </row>
    <row r="34">
      <c r="A34" s="2" t="n">
        <v>14</v>
      </c>
      <c r="B34" s="9" t="n">
        <v>13.201</v>
      </c>
      <c r="C34" s="9" t="n">
        <v>32.148</v>
      </c>
      <c r="D34" s="2" t="inlineStr">
        <is>
          <t>*44</t>
        </is>
      </c>
      <c r="E34" s="10">
        <f>B34-B33</f>
        <v/>
      </c>
    </row>
    <row r="35">
      <c r="A35" s="2" t="n">
        <v>15</v>
      </c>
      <c r="B35" s="9" t="n">
        <v>14.201</v>
      </c>
      <c r="C35" s="9" t="n">
        <v>32.148</v>
      </c>
      <c r="D35" s="2" t="inlineStr">
        <is>
          <t>*43</t>
        </is>
      </c>
      <c r="E35" s="10">
        <f>B35-B34</f>
        <v/>
      </c>
    </row>
    <row r="36">
      <c r="A36" s="2" t="n">
        <v>16</v>
      </c>
      <c r="B36" s="9" t="n">
        <v>15.201</v>
      </c>
      <c r="C36" s="9" t="n">
        <v>32.051</v>
      </c>
      <c r="D36" s="2" t="inlineStr">
        <is>
          <t>*4B</t>
        </is>
      </c>
      <c r="E36" s="10">
        <f>B36-B35</f>
        <v/>
      </c>
    </row>
    <row r="37">
      <c r="A37" s="2" t="n">
        <v>17</v>
      </c>
      <c r="B37" s="9" t="n">
        <v>16.201</v>
      </c>
      <c r="C37" s="9" t="n">
        <v>32.051</v>
      </c>
      <c r="D37" s="2" t="inlineStr">
        <is>
          <t>*48</t>
        </is>
      </c>
      <c r="E37" s="10">
        <f>B37-B36</f>
        <v/>
      </c>
    </row>
    <row r="38">
      <c r="A38" s="2" t="n">
        <v>18</v>
      </c>
      <c r="B38" s="9" t="n">
        <v>17.201</v>
      </c>
      <c r="C38" s="9" t="n">
        <v>32.051</v>
      </c>
      <c r="D38" s="2" t="inlineStr">
        <is>
          <t>*49</t>
        </is>
      </c>
      <c r="E38" s="10">
        <f>B38-B37</f>
        <v/>
      </c>
    </row>
    <row r="39">
      <c r="A39" s="2" t="n">
        <v>19</v>
      </c>
      <c r="B39" s="9" t="n">
        <v>18.201</v>
      </c>
      <c r="C39" s="9" t="n">
        <v>32.09</v>
      </c>
      <c r="D39" s="2" t="inlineStr">
        <is>
          <t>*4B</t>
        </is>
      </c>
      <c r="E39" s="10">
        <f>B39-B38</f>
        <v/>
      </c>
    </row>
    <row r="40">
      <c r="A40" s="2" t="n">
        <v>20</v>
      </c>
      <c r="B40" s="9" t="n">
        <v>19.201</v>
      </c>
      <c r="C40" s="9" t="n">
        <v>32.021</v>
      </c>
      <c r="D40" s="2" t="inlineStr">
        <is>
          <t>*40</t>
        </is>
      </c>
      <c r="E40" s="10">
        <f>B40-B39</f>
        <v/>
      </c>
    </row>
    <row r="41">
      <c r="A41" s="2" t="n">
        <v>21</v>
      </c>
      <c r="B41" s="9" t="n">
        <v>20.201</v>
      </c>
      <c r="C41" s="9" t="n">
        <v>32.061</v>
      </c>
      <c r="D41" s="2" t="inlineStr">
        <is>
          <t>*4E</t>
        </is>
      </c>
      <c r="E41" s="10">
        <f>B41-B40</f>
        <v/>
      </c>
    </row>
    <row r="42">
      <c r="A42" s="2" t="n">
        <v>22</v>
      </c>
      <c r="B42" s="9" t="n">
        <v>21.201</v>
      </c>
      <c r="C42" s="9" t="n">
        <v>31.973</v>
      </c>
      <c r="D42" s="2" t="inlineStr">
        <is>
          <t>*46</t>
        </is>
      </c>
      <c r="E42" s="10">
        <f>B42-B41</f>
        <v/>
      </c>
    </row>
    <row r="43">
      <c r="A43" s="2" t="n">
        <v>23</v>
      </c>
      <c r="B43" s="9" t="n">
        <v>22.201</v>
      </c>
      <c r="C43" s="9" t="n">
        <v>31.992</v>
      </c>
      <c r="D43" s="2" t="inlineStr">
        <is>
          <t>*4A</t>
        </is>
      </c>
      <c r="E43" s="10">
        <f>B43-B42</f>
        <v/>
      </c>
    </row>
    <row r="44">
      <c r="A44" s="2" t="n">
        <v>24</v>
      </c>
      <c r="B44" s="9" t="n">
        <v>23.201</v>
      </c>
      <c r="C44" s="9" t="n">
        <v>31.924</v>
      </c>
      <c r="D44" s="2" t="inlineStr">
        <is>
          <t>*46</t>
        </is>
      </c>
      <c r="E44" s="10">
        <f>B44-B43</f>
        <v/>
      </c>
    </row>
    <row r="45">
      <c r="A45" s="2" t="n">
        <v>25</v>
      </c>
      <c r="B45" s="9" t="n">
        <v>24.201</v>
      </c>
      <c r="C45" s="9" t="n">
        <v>32.021</v>
      </c>
      <c r="D45" s="2" t="inlineStr">
        <is>
          <t>*4E</t>
        </is>
      </c>
      <c r="E45" s="10">
        <f>B45-B44</f>
        <v/>
      </c>
    </row>
    <row r="46">
      <c r="A46" s="2" t="n">
        <v>26</v>
      </c>
      <c r="B46" s="9" t="n">
        <v>25.201</v>
      </c>
      <c r="C46" s="9" t="n">
        <v>31.982</v>
      </c>
      <c r="D46" s="2" t="inlineStr">
        <is>
          <t>*4C</t>
        </is>
      </c>
      <c r="E46" s="10">
        <f>B46-B45</f>
        <v/>
      </c>
    </row>
    <row r="47">
      <c r="A47" s="2" t="n">
        <v>27</v>
      </c>
      <c r="B47" s="9" t="n">
        <v>26.201</v>
      </c>
      <c r="C47" s="9" t="n">
        <v>32.002</v>
      </c>
      <c r="D47" s="2" t="inlineStr">
        <is>
          <t>*4D</t>
        </is>
      </c>
      <c r="E47" s="10">
        <f>B47-B46</f>
        <v/>
      </c>
    </row>
    <row r="48">
      <c r="A48" s="2" t="n">
        <v>28</v>
      </c>
      <c r="B48" s="9" t="n">
        <v>27.201</v>
      </c>
      <c r="C48" s="9" t="n">
        <v>32.031</v>
      </c>
      <c r="D48" s="2" t="inlineStr">
        <is>
          <t>*4C</t>
        </is>
      </c>
      <c r="E48" s="10">
        <f>B48-B47</f>
        <v/>
      </c>
    </row>
    <row r="49">
      <c r="A49" s="2" t="n">
        <v>29</v>
      </c>
      <c r="B49" s="9" t="n">
        <v>28.201</v>
      </c>
      <c r="C49" s="9" t="n">
        <v>31.992</v>
      </c>
      <c r="D49" s="2" t="inlineStr">
        <is>
          <t>*40</t>
        </is>
      </c>
      <c r="E49" s="10">
        <f>B49-B48</f>
        <v/>
      </c>
    </row>
    <row r="50">
      <c r="A50" s="2" t="n">
        <v>30</v>
      </c>
      <c r="B50" s="9" t="n">
        <v>29.201</v>
      </c>
      <c r="C50" s="9" t="n">
        <v>32.031</v>
      </c>
      <c r="D50" s="2" t="inlineStr">
        <is>
          <t>*42</t>
        </is>
      </c>
      <c r="E50" s="10">
        <f>B50-B49</f>
        <v/>
      </c>
    </row>
    <row r="51">
      <c r="A51" s="2" t="n">
        <v>31</v>
      </c>
      <c r="B51" s="9" t="n">
        <v>30.201</v>
      </c>
      <c r="C51" s="9" t="n">
        <v>31.953</v>
      </c>
      <c r="D51" s="2" t="inlineStr">
        <is>
          <t>*44</t>
        </is>
      </c>
      <c r="E51" s="10">
        <f>B51-B50</f>
        <v/>
      </c>
    </row>
    <row r="52">
      <c r="A52" s="2" t="n">
        <v>32</v>
      </c>
      <c r="B52" s="9" t="n">
        <v>31.201</v>
      </c>
      <c r="C52" s="9" t="n">
        <v>31.963</v>
      </c>
      <c r="D52" s="2" t="inlineStr">
        <is>
          <t>*46</t>
        </is>
      </c>
      <c r="E52" s="10">
        <f>B52-B51</f>
        <v/>
      </c>
    </row>
    <row r="53">
      <c r="A53" s="2" t="n">
        <v>33</v>
      </c>
      <c r="B53" s="9" t="n">
        <v>32.201</v>
      </c>
      <c r="C53" s="9" t="n">
        <v>31.943</v>
      </c>
      <c r="D53" s="2" t="inlineStr">
        <is>
          <t>*47</t>
        </is>
      </c>
      <c r="E53" s="10">
        <f>B53-B52</f>
        <v/>
      </c>
    </row>
    <row r="54">
      <c r="A54" s="2" t="n">
        <v>34</v>
      </c>
      <c r="B54" s="9" t="n">
        <v>33.201</v>
      </c>
      <c r="C54" s="9" t="n">
        <v>31.943</v>
      </c>
      <c r="D54" s="2" t="inlineStr">
        <is>
          <t>*46</t>
        </is>
      </c>
      <c r="E54" s="10">
        <f>B54-B53</f>
        <v/>
      </c>
    </row>
    <row r="55">
      <c r="A55" s="2" t="n">
        <v>35</v>
      </c>
      <c r="B55" s="9" t="n">
        <v>34.201</v>
      </c>
      <c r="C55" s="9" t="n">
        <v>32.031</v>
      </c>
      <c r="D55" s="2" t="inlineStr">
        <is>
          <t>*4E</t>
        </is>
      </c>
      <c r="E55" s="10">
        <f>B55-B54</f>
        <v/>
      </c>
    </row>
    <row r="56">
      <c r="A56" s="2" t="n">
        <v>36</v>
      </c>
      <c r="B56" s="9" t="n">
        <v>35.201</v>
      </c>
      <c r="C56" s="9" t="n">
        <v>31.963</v>
      </c>
      <c r="D56" s="2" t="inlineStr">
        <is>
          <t>*42</t>
        </is>
      </c>
      <c r="E56" s="10">
        <f>B56-B55</f>
        <v/>
      </c>
    </row>
    <row r="57">
      <c r="A57" s="2" t="n">
        <v>37</v>
      </c>
      <c r="B57" s="9" t="n">
        <v>36.201</v>
      </c>
      <c r="C57" s="9" t="n">
        <v>31.992</v>
      </c>
      <c r="D57" s="2" t="inlineStr">
        <is>
          <t>*4F</t>
        </is>
      </c>
      <c r="E57" s="10">
        <f>B57-B56</f>
        <v/>
      </c>
    </row>
    <row r="58">
      <c r="A58" s="2" t="n">
        <v>38</v>
      </c>
      <c r="B58" s="9" t="n">
        <v>37.201</v>
      </c>
      <c r="C58" s="9" t="n">
        <v>31.943</v>
      </c>
      <c r="D58" s="2" t="inlineStr">
        <is>
          <t>*42</t>
        </is>
      </c>
      <c r="E58" s="10">
        <f>B58-B57</f>
        <v/>
      </c>
    </row>
    <row r="59">
      <c r="A59" s="2" t="n">
        <v>39</v>
      </c>
      <c r="B59" s="9" t="n">
        <v>38.201</v>
      </c>
      <c r="C59" s="9" t="n">
        <v>31.953</v>
      </c>
      <c r="D59" s="2" t="inlineStr">
        <is>
          <t>*4C</t>
        </is>
      </c>
      <c r="E59" s="10">
        <f>B59-B58</f>
        <v/>
      </c>
    </row>
    <row r="60">
      <c r="A60" s="2" t="n">
        <v>40</v>
      </c>
      <c r="B60" s="9" t="n">
        <v>39.201</v>
      </c>
      <c r="C60" s="9" t="n">
        <v>31.982</v>
      </c>
      <c r="D60" s="2" t="inlineStr">
        <is>
          <t>*41</t>
        </is>
      </c>
      <c r="E60" s="10">
        <f>B60-B59</f>
        <v/>
      </c>
    </row>
    <row r="61">
      <c r="A61" s="2" t="n">
        <v>41</v>
      </c>
      <c r="B61" s="9" t="n">
        <v>40.201</v>
      </c>
      <c r="C61" s="9" t="n">
        <v>31.934</v>
      </c>
      <c r="D61" s="2" t="inlineStr">
        <is>
          <t>*42</t>
        </is>
      </c>
      <c r="E61" s="10">
        <f>B61-B60</f>
        <v/>
      </c>
    </row>
    <row r="62">
      <c r="A62" s="2" t="n">
        <v>42</v>
      </c>
      <c r="B62" s="9" t="n">
        <v>41.201</v>
      </c>
      <c r="C62" s="9" t="n">
        <v>32.09</v>
      </c>
      <c r="D62" s="2" t="inlineStr">
        <is>
          <t>*47</t>
        </is>
      </c>
      <c r="E62" s="10">
        <f>B62-B61</f>
        <v/>
      </c>
    </row>
    <row r="63">
      <c r="A63" s="2" t="n">
        <v>43</v>
      </c>
      <c r="B63" s="9" t="n">
        <v>42.201</v>
      </c>
      <c r="C63" s="9" t="n">
        <v>32.09</v>
      </c>
      <c r="D63" s="2" t="inlineStr">
        <is>
          <t>*44</t>
        </is>
      </c>
      <c r="E63" s="10">
        <f>B63-B62</f>
        <v/>
      </c>
    </row>
    <row r="64">
      <c r="A64" s="2" t="n">
        <v>44</v>
      </c>
      <c r="B64" s="9" t="n">
        <v>43.201</v>
      </c>
      <c r="C64" s="9" t="n">
        <v>31.992</v>
      </c>
      <c r="D64" s="2" t="inlineStr">
        <is>
          <t>*4D</t>
        </is>
      </c>
      <c r="E64" s="10">
        <f>B64-B63</f>
        <v/>
      </c>
    </row>
    <row r="65">
      <c r="A65" s="2" t="n">
        <v>45</v>
      </c>
      <c r="B65" s="9" t="n">
        <v>44.201</v>
      </c>
      <c r="C65" s="9" t="n">
        <v>32.08</v>
      </c>
      <c r="D65" s="2" t="inlineStr">
        <is>
          <t>*43</t>
        </is>
      </c>
      <c r="E65" s="10">
        <f>B65-B64</f>
        <v/>
      </c>
    </row>
    <row r="66">
      <c r="A66" s="2" t="n">
        <v>46</v>
      </c>
      <c r="B66" s="9" t="n">
        <v>45.201</v>
      </c>
      <c r="C66" s="9" t="n">
        <v>32.119</v>
      </c>
      <c r="D66" s="2" t="inlineStr">
        <is>
          <t>*43</t>
        </is>
      </c>
      <c r="E66" s="10">
        <f>B66-B65</f>
        <v/>
      </c>
    </row>
    <row r="67">
      <c r="A67" s="2" t="n">
        <v>47</v>
      </c>
      <c r="B67" s="9" t="n">
        <v>46.201</v>
      </c>
      <c r="C67" s="9" t="n">
        <v>32.109</v>
      </c>
      <c r="D67" s="2" t="inlineStr">
        <is>
          <t>*41</t>
        </is>
      </c>
      <c r="E67" s="10">
        <f>B67-B66</f>
        <v/>
      </c>
    </row>
    <row r="68">
      <c r="A68" s="2" t="n">
        <v>48</v>
      </c>
      <c r="B68" s="9" t="n">
        <v>47.201</v>
      </c>
      <c r="C68" s="9" t="n">
        <v>32.148</v>
      </c>
      <c r="D68" s="2" t="inlineStr">
        <is>
          <t>*45</t>
        </is>
      </c>
      <c r="E68" s="10">
        <f>B68-B67</f>
        <v/>
      </c>
    </row>
    <row r="69">
      <c r="A69" s="2" t="n">
        <v>49</v>
      </c>
      <c r="B69" s="9" t="n">
        <v>48.201</v>
      </c>
      <c r="C69" s="9" t="n">
        <v>32.158</v>
      </c>
      <c r="D69" s="2" t="inlineStr">
        <is>
          <t>*4B</t>
        </is>
      </c>
      <c r="E69" s="10">
        <f>B69-B68</f>
        <v/>
      </c>
    </row>
    <row r="70">
      <c r="A70" s="2" t="n">
        <v>50</v>
      </c>
      <c r="B70" s="9" t="n">
        <v>49.201</v>
      </c>
      <c r="C70" s="9" t="n">
        <v>32.148</v>
      </c>
      <c r="D70" s="2" t="inlineStr">
        <is>
          <t>*4B</t>
        </is>
      </c>
      <c r="E70" s="10">
        <f>B70-B69</f>
        <v/>
      </c>
    </row>
    <row r="71">
      <c r="A71" s="2" t="n">
        <v>51</v>
      </c>
      <c r="B71" s="9" t="n">
        <v>50.201</v>
      </c>
      <c r="C71" s="9" t="n">
        <v>32.158</v>
      </c>
      <c r="D71" s="2" t="inlineStr">
        <is>
          <t>*42</t>
        </is>
      </c>
      <c r="E71" s="10">
        <f>B71-B70</f>
        <v/>
      </c>
    </row>
    <row r="72">
      <c r="A72" s="2" t="n">
        <v>52</v>
      </c>
      <c r="B72" s="9" t="n">
        <v>51.201</v>
      </c>
      <c r="C72" s="9" t="n">
        <v>32.178</v>
      </c>
      <c r="D72" s="2" t="inlineStr">
        <is>
          <t>*41</t>
        </is>
      </c>
      <c r="E72" s="10">
        <f>B72-B71</f>
        <v/>
      </c>
    </row>
    <row r="73">
      <c r="A73" s="2" t="n">
        <v>53</v>
      </c>
      <c r="B73" s="9" t="n">
        <v>52.201</v>
      </c>
      <c r="C73" s="9" t="n">
        <v>32.168</v>
      </c>
      <c r="D73" s="2" t="inlineStr">
        <is>
          <t>*43</t>
        </is>
      </c>
      <c r="E73" s="10">
        <f>B73-B72</f>
        <v/>
      </c>
    </row>
    <row r="74">
      <c r="A74" s="2" t="n">
        <v>54</v>
      </c>
      <c r="B74" s="9" t="n">
        <v>53.201</v>
      </c>
      <c r="C74" s="9" t="n">
        <v>32.158</v>
      </c>
      <c r="D74" s="2" t="inlineStr">
        <is>
          <t>*41</t>
        </is>
      </c>
      <c r="E74" s="10">
        <f>B74-B73</f>
        <v/>
      </c>
    </row>
    <row r="75">
      <c r="A75" s="2" t="n">
        <v>55</v>
      </c>
      <c r="B75" s="9" t="n">
        <v>54.201</v>
      </c>
      <c r="C75" s="9" t="n">
        <v>32.158</v>
      </c>
      <c r="D75" s="2" t="inlineStr">
        <is>
          <t>*46</t>
        </is>
      </c>
      <c r="E75" s="10">
        <f>B75-B74</f>
        <v/>
      </c>
    </row>
    <row r="76">
      <c r="A76" s="2" t="n">
        <v>56</v>
      </c>
      <c r="B76" s="9" t="n">
        <v>55.201</v>
      </c>
      <c r="C76" s="9" t="n">
        <v>32.158</v>
      </c>
      <c r="D76" s="2" t="inlineStr">
        <is>
          <t>*47</t>
        </is>
      </c>
      <c r="E76" s="10">
        <f>B76-B75</f>
        <v/>
      </c>
    </row>
    <row r="77">
      <c r="A77" s="2" t="n">
        <v>57</v>
      </c>
      <c r="B77" s="9" t="n">
        <v>56.201</v>
      </c>
      <c r="C77" s="9" t="n">
        <v>32.178</v>
      </c>
      <c r="D77" s="2" t="inlineStr">
        <is>
          <t>*46</t>
        </is>
      </c>
      <c r="E77" s="10">
        <f>B77-B76</f>
        <v/>
      </c>
    </row>
    <row r="78">
      <c r="A78" s="2" t="n">
        <v>58</v>
      </c>
      <c r="B78" s="9" t="n">
        <v>57.201</v>
      </c>
      <c r="C78" s="9" t="n">
        <v>32.148</v>
      </c>
      <c r="D78" s="2" t="inlineStr">
        <is>
          <t>*44</t>
        </is>
      </c>
      <c r="E78" s="10">
        <f>B78-B77</f>
        <v/>
      </c>
    </row>
    <row r="79">
      <c r="A79" s="2" t="n">
        <v>59</v>
      </c>
      <c r="B79" s="9" t="n">
        <v>58.201</v>
      </c>
      <c r="C79" s="9" t="n">
        <v>32.178</v>
      </c>
      <c r="D79" s="2" t="inlineStr">
        <is>
          <t>*48</t>
        </is>
      </c>
      <c r="E79" s="10">
        <f>B79-B78</f>
        <v/>
      </c>
    </row>
    <row r="80">
      <c r="A80" s="2" t="n">
        <v>60</v>
      </c>
      <c r="B80" s="9" t="n">
        <v>59.201</v>
      </c>
      <c r="C80" s="9" t="n">
        <v>32.188</v>
      </c>
      <c r="D80" s="2" t="inlineStr">
        <is>
          <t>*46</t>
        </is>
      </c>
      <c r="E80" s="10">
        <f>B80-B79</f>
        <v/>
      </c>
    </row>
    <row r="81">
      <c r="A81" s="2" t="n">
        <v>61</v>
      </c>
      <c r="B81" s="9" t="n">
        <v>60.201</v>
      </c>
      <c r="C81" s="9" t="n">
        <v>32.178</v>
      </c>
      <c r="D81" s="2" t="inlineStr">
        <is>
          <t>*43</t>
        </is>
      </c>
      <c r="E81" s="10">
        <f>B81-B80</f>
        <v/>
      </c>
    </row>
    <row r="82">
      <c r="A82" s="2" t="n">
        <v>62</v>
      </c>
      <c r="B82" s="9" t="n">
        <v>61.201</v>
      </c>
      <c r="C82" s="9" t="n">
        <v>32.178</v>
      </c>
      <c r="D82" s="2" t="inlineStr">
        <is>
          <t>*42</t>
        </is>
      </c>
      <c r="E82" s="10">
        <f>B82-B81</f>
        <v/>
      </c>
    </row>
    <row r="83">
      <c r="A83" s="2" t="n">
        <v>63</v>
      </c>
      <c r="B83" s="9" t="n">
        <v>62.201</v>
      </c>
      <c r="C83" s="9" t="n">
        <v>32.178</v>
      </c>
      <c r="D83" s="2" t="inlineStr">
        <is>
          <t>*41</t>
        </is>
      </c>
      <c r="E83" s="10">
        <f>B83-B82</f>
        <v/>
      </c>
    </row>
    <row r="84">
      <c r="A84" s="2" t="n">
        <v>64</v>
      </c>
      <c r="B84" s="9" t="n">
        <v>63.201</v>
      </c>
      <c r="C84" s="9" t="n">
        <v>32.178</v>
      </c>
      <c r="D84" s="2" t="inlineStr">
        <is>
          <t>*40</t>
        </is>
      </c>
      <c r="E84" s="10">
        <f>B84-B83</f>
        <v/>
      </c>
    </row>
    <row r="85">
      <c r="A85" s="2" t="n">
        <v>65</v>
      </c>
      <c r="B85" s="9" t="n">
        <v>64.20099999999999</v>
      </c>
      <c r="C85" s="9" t="n">
        <v>32.168</v>
      </c>
      <c r="D85" s="2" t="inlineStr">
        <is>
          <t>*46</t>
        </is>
      </c>
      <c r="E85" s="10">
        <f>B85-B84</f>
        <v/>
      </c>
    </row>
    <row r="86">
      <c r="A86" s="2" t="n">
        <v>66</v>
      </c>
      <c r="B86" s="9" t="n">
        <v>65.20099999999999</v>
      </c>
      <c r="C86" s="9" t="n">
        <v>32.188</v>
      </c>
      <c r="D86" s="2" t="inlineStr">
        <is>
          <t>*49</t>
        </is>
      </c>
      <c r="E86" s="10">
        <f>B86-B85</f>
        <v/>
      </c>
    </row>
    <row r="87">
      <c r="A87" s="2" t="n">
        <v>67</v>
      </c>
      <c r="B87" s="9" t="n">
        <v>66.20099999999999</v>
      </c>
      <c r="C87" s="9" t="n">
        <v>32.168</v>
      </c>
      <c r="D87" s="2" t="inlineStr">
        <is>
          <t>*44</t>
        </is>
      </c>
      <c r="E87" s="10">
        <f>B87-B86</f>
        <v/>
      </c>
    </row>
    <row r="88">
      <c r="A88" s="2" t="n">
        <v>68</v>
      </c>
      <c r="B88" s="9" t="n">
        <v>67.20099999999999</v>
      </c>
      <c r="C88" s="9" t="n">
        <v>32.178</v>
      </c>
      <c r="D88" s="2" t="inlineStr">
        <is>
          <t>*44</t>
        </is>
      </c>
      <c r="E88" s="10">
        <f>B88-B87</f>
        <v/>
      </c>
    </row>
    <row r="89">
      <c r="A89" s="2" t="n">
        <v>69</v>
      </c>
      <c r="B89" s="9" t="n">
        <v>68.20099999999999</v>
      </c>
      <c r="C89" s="9" t="n">
        <v>32.188</v>
      </c>
      <c r="D89" s="2" t="inlineStr">
        <is>
          <t>*44</t>
        </is>
      </c>
      <c r="E89" s="10">
        <f>B89-B88</f>
        <v/>
      </c>
    </row>
    <row r="90">
      <c r="A90" s="2" t="n">
        <v>70</v>
      </c>
      <c r="B90" s="9" t="n">
        <v>69.20099999999999</v>
      </c>
      <c r="C90" s="9" t="n">
        <v>32.188</v>
      </c>
      <c r="D90" s="2" t="inlineStr">
        <is>
          <t>*45</t>
        </is>
      </c>
      <c r="E90" s="10">
        <f>B90-B89</f>
        <v/>
      </c>
    </row>
    <row r="91">
      <c r="A91" s="2" t="n">
        <v>71</v>
      </c>
      <c r="B91" s="9" t="n">
        <v>70.20099999999999</v>
      </c>
      <c r="C91" s="9" t="n">
        <v>32.178</v>
      </c>
      <c r="D91" s="2" t="inlineStr">
        <is>
          <t>*42</t>
        </is>
      </c>
      <c r="E91" s="10">
        <f>B91-B90</f>
        <v/>
      </c>
    </row>
    <row r="92">
      <c r="A92" s="2" t="n">
        <v>72</v>
      </c>
      <c r="B92" s="9" t="n">
        <v>71.20099999999999</v>
      </c>
      <c r="C92" s="9" t="n">
        <v>32.158</v>
      </c>
      <c r="D92" s="2" t="inlineStr">
        <is>
          <t>*41</t>
        </is>
      </c>
      <c r="E92" s="10">
        <f>B92-B91</f>
        <v/>
      </c>
    </row>
    <row r="93">
      <c r="A93" s="2" t="n">
        <v>73</v>
      </c>
      <c r="B93" s="9" t="n">
        <v>72.20099999999999</v>
      </c>
      <c r="C93" s="9" t="n">
        <v>32.168</v>
      </c>
      <c r="D93" s="2" t="inlineStr">
        <is>
          <t>*41</t>
        </is>
      </c>
      <c r="E93" s="10">
        <f>B93-B92</f>
        <v/>
      </c>
    </row>
    <row r="94">
      <c r="A94" s="2" t="n">
        <v>74</v>
      </c>
      <c r="B94" s="9" t="n">
        <v>73.20099999999999</v>
      </c>
      <c r="C94" s="9" t="n">
        <v>32.168</v>
      </c>
      <c r="D94" s="2" t="inlineStr">
        <is>
          <t>*40</t>
        </is>
      </c>
      <c r="E94" s="10">
        <f>B94-B93</f>
        <v/>
      </c>
    </row>
    <row r="95">
      <c r="A95" s="2" t="n">
        <v>75</v>
      </c>
      <c r="B95" s="9" t="n">
        <v>74.20099999999999</v>
      </c>
      <c r="C95" s="9" t="n">
        <v>32.168</v>
      </c>
      <c r="D95" s="2" t="inlineStr">
        <is>
          <t>*47</t>
        </is>
      </c>
      <c r="E95" s="10">
        <f>B95-B94</f>
        <v/>
      </c>
    </row>
    <row r="96">
      <c r="A96" s="2" t="n">
        <v>76</v>
      </c>
      <c r="B96" s="9" t="n">
        <v>75.20099999999999</v>
      </c>
      <c r="C96" s="9" t="n">
        <v>32.168</v>
      </c>
      <c r="D96" s="2" t="inlineStr">
        <is>
          <t>*46</t>
        </is>
      </c>
      <c r="E96" s="10">
        <f>B96-B95</f>
        <v/>
      </c>
    </row>
    <row r="97">
      <c r="A97" s="2" t="n">
        <v>77</v>
      </c>
      <c r="B97" s="9" t="n">
        <v>76.20099999999999</v>
      </c>
      <c r="C97" s="9" t="n">
        <v>32.178</v>
      </c>
      <c r="D97" s="2" t="inlineStr">
        <is>
          <t>*44</t>
        </is>
      </c>
      <c r="E97" s="10">
        <f>B97-B96</f>
        <v/>
      </c>
    </row>
    <row r="98">
      <c r="A98" s="2" t="n">
        <v>78</v>
      </c>
      <c r="B98" s="9" t="n">
        <v>77.20099999999999</v>
      </c>
      <c r="C98" s="9" t="n">
        <v>32.168</v>
      </c>
      <c r="D98" s="2" t="inlineStr">
        <is>
          <t>*44</t>
        </is>
      </c>
      <c r="E98" s="10">
        <f>B98-B97</f>
        <v/>
      </c>
    </row>
    <row r="99">
      <c r="A99" s="2" t="n">
        <v>79</v>
      </c>
      <c r="B99" s="9" t="n">
        <v>78.20099999999999</v>
      </c>
      <c r="C99" s="9" t="n">
        <v>32.178</v>
      </c>
      <c r="D99" s="2" t="inlineStr">
        <is>
          <t>*4A</t>
        </is>
      </c>
      <c r="E99" s="10">
        <f>B99-B98</f>
        <v/>
      </c>
    </row>
    <row r="100">
      <c r="A100" s="2" t="n">
        <v>80</v>
      </c>
      <c r="B100" s="9" t="n">
        <v>79.20099999999999</v>
      </c>
      <c r="C100" s="9" t="n">
        <v>32.168</v>
      </c>
      <c r="D100" s="2" t="inlineStr">
        <is>
          <t>*4A</t>
        </is>
      </c>
      <c r="E100" s="10">
        <f>B100-B99</f>
        <v/>
      </c>
    </row>
    <row r="101">
      <c r="A101" s="2" t="n">
        <v>81</v>
      </c>
      <c r="B101" s="9" t="n">
        <v>80.20099999999999</v>
      </c>
      <c r="C101" s="9" t="n">
        <v>32.178</v>
      </c>
      <c r="D101" s="2" t="inlineStr">
        <is>
          <t>*4D</t>
        </is>
      </c>
      <c r="E101" s="10">
        <f>B101-B100</f>
        <v/>
      </c>
    </row>
    <row r="102">
      <c r="A102" s="2" t="n">
        <v>82</v>
      </c>
      <c r="B102" s="9" t="n">
        <v>81.20099999999999</v>
      </c>
      <c r="C102" s="9" t="n">
        <v>32.188</v>
      </c>
      <c r="D102" s="2" t="inlineStr">
        <is>
          <t>*43</t>
        </is>
      </c>
      <c r="E102" s="10">
        <f>B102-B101</f>
        <v/>
      </c>
    </row>
    <row r="103">
      <c r="A103" s="2" t="n">
        <v>83</v>
      </c>
      <c r="B103" s="9" t="n">
        <v>82.20099999999999</v>
      </c>
      <c r="C103" s="9" t="n">
        <v>32.178</v>
      </c>
      <c r="D103" s="2" t="inlineStr">
        <is>
          <t>*4F</t>
        </is>
      </c>
      <c r="E103" s="10">
        <f>B103-B102</f>
        <v/>
      </c>
    </row>
    <row r="104">
      <c r="A104" s="2" t="n">
        <v>84</v>
      </c>
      <c r="B104" s="9" t="n">
        <v>83.20099999999999</v>
      </c>
      <c r="C104" s="9" t="n">
        <v>32.188</v>
      </c>
      <c r="D104" s="2" t="inlineStr">
        <is>
          <t>*41</t>
        </is>
      </c>
      <c r="E104" s="10">
        <f>B104-B103</f>
        <v/>
      </c>
    </row>
    <row r="105">
      <c r="A105" s="2" t="n">
        <v>85</v>
      </c>
      <c r="B105" s="9" t="n">
        <v>84.20099999999999</v>
      </c>
      <c r="C105" s="9" t="n">
        <v>32.178</v>
      </c>
      <c r="D105" s="2" t="inlineStr">
        <is>
          <t>*49</t>
        </is>
      </c>
      <c r="E105" s="10">
        <f>B105-B104</f>
        <v/>
      </c>
    </row>
  </sheetData>
  <mergeCells count="5">
    <mergeCell ref="A16:E16"/>
    <mergeCell ref="A15:E15"/>
    <mergeCell ref="A2:G3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3" customWidth="1" min="8" max="8"/>
  </cols>
  <sheetData>
    <row r="1">
      <c r="A1" s="1" t="inlineStr">
        <is>
          <t>Stage A - Transport</t>
        </is>
      </c>
    </row>
    <row r="2">
      <c r="A2" s="11" t="inlineStr">
        <is>
          <t>SYNTHETIC SENSOR VALUES. Stub firmware on real silicon: this capture validates framing, checksums and timing, NOT any measurement.</t>
        </is>
      </c>
    </row>
    <row r="3"/>
    <row r="5">
      <c r="A5" s="3" t="inlineStr">
        <is>
          <t>Rig declaration (HELLO line)</t>
        </is>
      </c>
    </row>
    <row r="6">
      <c r="A6" s="2" t="inlineStr">
        <is>
          <t>schema</t>
        </is>
      </c>
      <c r="B6" s="2" t="inlineStr">
        <is>
          <t>beacon.telemetry.v1</t>
        </is>
      </c>
    </row>
    <row r="7">
      <c r="A7" s="2" t="inlineStr">
        <is>
          <t>cell_id</t>
        </is>
      </c>
      <c r="B7" s="2" t="inlineStr">
        <is>
          <t>RIG_01</t>
        </is>
      </c>
    </row>
    <row r="8">
      <c r="A8" s="2" t="inlineStr">
        <is>
          <t>device</t>
        </is>
      </c>
      <c r="B8" s="2" t="inlineStr">
        <is>
          <t>esp8266</t>
        </is>
      </c>
    </row>
    <row r="9">
      <c r="A9" s="2" t="inlineStr">
        <is>
          <t>firmware</t>
        </is>
      </c>
      <c r="B9" s="2" t="inlineStr">
        <is>
          <t>beacon-rig-reference/1.0</t>
        </is>
      </c>
    </row>
    <row r="10">
      <c r="A10" s="2" t="inlineStr">
        <is>
          <t>period_ms</t>
        </is>
      </c>
      <c r="B10" s="2" t="n">
        <v>1000</v>
      </c>
    </row>
    <row r="11">
      <c r="A11" s="2" t="inlineStr">
        <is>
          <t>capacity_ah</t>
        </is>
      </c>
      <c r="B11" s="2" t="n">
        <v>2</v>
      </c>
    </row>
    <row r="12">
      <c r="A12" s="2" t="inlineStr">
        <is>
          <t>fields</t>
        </is>
      </c>
      <c r="B12" s="2" t="inlineStr">
        <is>
          <t>t, v, i, tc, soc</t>
        </is>
      </c>
    </row>
    <row r="14">
      <c r="A14" s="3" t="inlineStr">
        <is>
          <t>Status lines emitted by the rig</t>
        </is>
      </c>
    </row>
    <row r="15">
      <c r="A15" s="2" t="inlineStr">
        <is>
          <t>rig started</t>
        </is>
      </c>
    </row>
    <row r="17">
      <c r="A17" s="8" t="inlineStr">
        <is>
          <t>Sample #</t>
        </is>
      </c>
      <c r="B17" s="8" t="inlineStr">
        <is>
          <t>Elapsed (s)</t>
        </is>
      </c>
      <c r="C17" s="8" t="inlineStr">
        <is>
          <t>Voltage (V)</t>
        </is>
      </c>
      <c r="D17" s="8" t="inlineStr">
        <is>
          <t>Current (A)</t>
        </is>
      </c>
      <c r="E17" s="8" t="inlineStr">
        <is>
          <t>Temperature (C)</t>
        </is>
      </c>
      <c r="F17" s="8" t="inlineStr">
        <is>
          <t>SOC (%)</t>
        </is>
      </c>
      <c r="G17" s="8" t="inlineStr">
        <is>
          <t>Checksum</t>
        </is>
      </c>
      <c r="H17" s="8" t="inlineStr">
        <is>
          <t>Interval (s)</t>
        </is>
      </c>
    </row>
    <row r="18">
      <c r="A18" s="2" t="n">
        <v>1</v>
      </c>
      <c r="B18" s="9" t="n">
        <v>0.101</v>
      </c>
      <c r="C18" s="10" t="n">
        <v>4.149</v>
      </c>
      <c r="D18" s="10" t="n">
        <v>-1.5</v>
      </c>
      <c r="E18" s="9" t="n">
        <v>25.005</v>
      </c>
      <c r="F18" s="9" t="n">
        <v>99.98</v>
      </c>
      <c r="G18" s="2" t="inlineStr">
        <is>
          <t>*03</t>
        </is>
      </c>
    </row>
    <row r="19">
      <c r="A19" s="2" t="n">
        <v>2</v>
      </c>
      <c r="B19" s="9" t="n">
        <v>1.101</v>
      </c>
      <c r="C19" s="10" t="n">
        <v>4.1394</v>
      </c>
      <c r="D19" s="10" t="n">
        <v>-1.5</v>
      </c>
      <c r="E19" s="9" t="n">
        <v>25.055</v>
      </c>
      <c r="F19" s="9" t="n">
        <v>99.95999999999999</v>
      </c>
      <c r="G19" s="2" t="inlineStr">
        <is>
          <t>*0A</t>
        </is>
      </c>
      <c r="H19" s="10">
        <f>B19-B18</f>
        <v/>
      </c>
    </row>
    <row r="20">
      <c r="A20" s="2" t="n">
        <v>3</v>
      </c>
      <c r="B20" s="9" t="n">
        <v>2.101</v>
      </c>
      <c r="C20" s="10" t="n">
        <v>4.1299</v>
      </c>
      <c r="D20" s="10" t="n">
        <v>-1.5</v>
      </c>
      <c r="E20" s="9" t="n">
        <v>25.105</v>
      </c>
      <c r="F20" s="9" t="n">
        <v>99.94</v>
      </c>
      <c r="G20" s="2" t="inlineStr">
        <is>
          <t>*03</t>
        </is>
      </c>
      <c r="H20" s="10">
        <f>B20-B19</f>
        <v/>
      </c>
    </row>
    <row r="21">
      <c r="A21" s="2" t="n">
        <v>4</v>
      </c>
      <c r="B21" s="9" t="n">
        <v>3.101</v>
      </c>
      <c r="C21" s="10" t="n">
        <v>4.1203</v>
      </c>
      <c r="D21" s="10" t="n">
        <v>-1.5</v>
      </c>
      <c r="E21" s="9" t="n">
        <v>25.155</v>
      </c>
      <c r="F21" s="9" t="n">
        <v>99.92</v>
      </c>
      <c r="G21" s="2" t="inlineStr">
        <is>
          <t>*02</t>
        </is>
      </c>
      <c r="H21" s="10">
        <f>B21-B20</f>
        <v/>
      </c>
    </row>
    <row r="22">
      <c r="A22" s="2" t="n">
        <v>5</v>
      </c>
      <c r="B22" s="9" t="n">
        <v>4.101</v>
      </c>
      <c r="C22" s="10" t="n">
        <v>4.1107</v>
      </c>
      <c r="D22" s="10" t="n">
        <v>-1.5</v>
      </c>
      <c r="E22" s="9" t="n">
        <v>25.205</v>
      </c>
      <c r="F22" s="9" t="n">
        <v>99.90000000000001</v>
      </c>
      <c r="G22" s="2" t="inlineStr">
        <is>
          <t>*06</t>
        </is>
      </c>
      <c r="H22" s="10">
        <f>B22-B21</f>
        <v/>
      </c>
    </row>
    <row r="23">
      <c r="A23" s="2" t="n">
        <v>6</v>
      </c>
      <c r="B23" s="9" t="n">
        <v>5.101</v>
      </c>
      <c r="C23" s="10" t="n">
        <v>4.1011</v>
      </c>
      <c r="D23" s="10" t="n">
        <v>-1.5</v>
      </c>
      <c r="E23" s="9" t="n">
        <v>25.255</v>
      </c>
      <c r="F23" s="9" t="n">
        <v>99.88</v>
      </c>
      <c r="G23" s="2" t="inlineStr">
        <is>
          <t>*0D</t>
        </is>
      </c>
      <c r="H23" s="10">
        <f>B23-B22</f>
        <v/>
      </c>
    </row>
    <row r="24">
      <c r="A24" s="2" t="n">
        <v>7</v>
      </c>
      <c r="B24" s="9" t="n">
        <v>6.101</v>
      </c>
      <c r="C24" s="10" t="n">
        <v>4.0915</v>
      </c>
      <c r="D24" s="10" t="n">
        <v>-1.5</v>
      </c>
      <c r="E24" s="9" t="n">
        <v>25.305</v>
      </c>
      <c r="F24" s="9" t="n">
        <v>99.84999999999999</v>
      </c>
      <c r="G24" s="2" t="inlineStr">
        <is>
          <t>*0B</t>
        </is>
      </c>
      <c r="H24" s="10">
        <f>B24-B23</f>
        <v/>
      </c>
    </row>
    <row r="25">
      <c r="A25" s="2" t="n">
        <v>8</v>
      </c>
      <c r="B25" s="9" t="n">
        <v>7.101</v>
      </c>
      <c r="C25" s="10" t="n">
        <v>4.0819</v>
      </c>
      <c r="D25" s="10" t="n">
        <v>-1.5</v>
      </c>
      <c r="E25" s="9" t="n">
        <v>25.355</v>
      </c>
      <c r="F25" s="9" t="n">
        <v>99.83</v>
      </c>
      <c r="G25" s="2" t="inlineStr">
        <is>
          <t>*04</t>
        </is>
      </c>
      <c r="H25" s="10">
        <f>B25-B24</f>
        <v/>
      </c>
    </row>
    <row r="26">
      <c r="A26" s="2" t="n">
        <v>9</v>
      </c>
      <c r="B26" s="9" t="n">
        <v>8.101000000000001</v>
      </c>
      <c r="C26" s="10" t="n">
        <v>4.0724</v>
      </c>
      <c r="D26" s="10" t="n">
        <v>-1.5</v>
      </c>
      <c r="E26" s="9" t="n">
        <v>25.405</v>
      </c>
      <c r="F26" s="9" t="n">
        <v>99.81</v>
      </c>
      <c r="G26" s="2" t="inlineStr">
        <is>
          <t>*0A</t>
        </is>
      </c>
      <c r="H26" s="10">
        <f>B26-B25</f>
        <v/>
      </c>
    </row>
    <row r="27">
      <c r="A27" s="2" t="n">
        <v>10</v>
      </c>
      <c r="B27" s="9" t="n">
        <v>9.101000000000001</v>
      </c>
      <c r="C27" s="10" t="n">
        <v>4.0628</v>
      </c>
      <c r="D27" s="10" t="n">
        <v>-1.5</v>
      </c>
      <c r="E27" s="9" t="n">
        <v>25.455</v>
      </c>
      <c r="F27" s="9" t="n">
        <v>99.79000000000001</v>
      </c>
      <c r="G27" s="2" t="inlineStr">
        <is>
          <t>*04</t>
        </is>
      </c>
      <c r="H27" s="10">
        <f>B27-B26</f>
        <v/>
      </c>
    </row>
    <row r="28">
      <c r="A28" s="2" t="n">
        <v>11</v>
      </c>
      <c r="B28" s="9" t="n">
        <v>10.101</v>
      </c>
      <c r="C28" s="10" t="n">
        <v>4.0532</v>
      </c>
      <c r="D28" s="10" t="n">
        <v>-1.5</v>
      </c>
      <c r="E28" s="9" t="n">
        <v>25.505</v>
      </c>
      <c r="F28" s="9" t="n">
        <v>99.77</v>
      </c>
      <c r="G28" s="2" t="inlineStr">
        <is>
          <t>*3E</t>
        </is>
      </c>
      <c r="H28" s="10">
        <f>B28-B27</f>
        <v/>
      </c>
    </row>
    <row r="29">
      <c r="A29" s="2" t="n">
        <v>12</v>
      </c>
      <c r="B29" s="9" t="n">
        <v>11.101</v>
      </c>
      <c r="C29" s="10" t="n">
        <v>4.0436</v>
      </c>
      <c r="D29" s="10" t="n">
        <v>-1.5</v>
      </c>
      <c r="E29" s="9" t="n">
        <v>25.555</v>
      </c>
      <c r="F29" s="9" t="n">
        <v>99.75</v>
      </c>
      <c r="G29" s="2" t="inlineStr">
        <is>
          <t>*3D</t>
        </is>
      </c>
      <c r="H29" s="10">
        <f>B29-B28</f>
        <v/>
      </c>
    </row>
    <row r="30">
      <c r="A30" s="2" t="n">
        <v>13</v>
      </c>
      <c r="B30" s="9" t="n">
        <v>12.101</v>
      </c>
      <c r="C30" s="10" t="n">
        <v>4.034</v>
      </c>
      <c r="D30" s="10" t="n">
        <v>-1.5</v>
      </c>
      <c r="E30" s="9" t="n">
        <v>25.605</v>
      </c>
      <c r="F30" s="9" t="n">
        <v>99.73</v>
      </c>
      <c r="G30" s="2" t="inlineStr">
        <is>
          <t>*38</t>
        </is>
      </c>
      <c r="H30" s="10">
        <f>B30-B29</f>
        <v/>
      </c>
    </row>
    <row r="31">
      <c r="A31" s="2" t="n">
        <v>14</v>
      </c>
      <c r="B31" s="9" t="n">
        <v>13.101</v>
      </c>
      <c r="C31" s="10" t="n">
        <v>4.0244</v>
      </c>
      <c r="D31" s="10" t="n">
        <v>-1.5</v>
      </c>
      <c r="E31" s="9" t="n">
        <v>25.655</v>
      </c>
      <c r="F31" s="9" t="n">
        <v>99.70999999999999</v>
      </c>
      <c r="G31" s="2" t="inlineStr">
        <is>
          <t>*3B</t>
        </is>
      </c>
      <c r="H31" s="10">
        <f>B31-B30</f>
        <v/>
      </c>
    </row>
    <row r="32">
      <c r="A32" s="2" t="n">
        <v>15</v>
      </c>
      <c r="B32" s="9" t="n">
        <v>14.101</v>
      </c>
      <c r="C32" s="10" t="n">
        <v>4.0149</v>
      </c>
      <c r="D32" s="10" t="n">
        <v>-1.5</v>
      </c>
      <c r="E32" s="9" t="n">
        <v>25.705</v>
      </c>
      <c r="F32" s="9" t="n">
        <v>99.69</v>
      </c>
      <c r="G32" s="2" t="inlineStr">
        <is>
          <t>*3F</t>
        </is>
      </c>
      <c r="H32" s="10">
        <f>B32-B31</f>
        <v/>
      </c>
    </row>
    <row r="33">
      <c r="A33" s="2" t="n">
        <v>16</v>
      </c>
      <c r="B33" s="9" t="n">
        <v>15.101</v>
      </c>
      <c r="C33" s="10" t="n">
        <v>4.0053</v>
      </c>
      <c r="D33" s="10" t="n">
        <v>-1.5</v>
      </c>
      <c r="E33" s="9" t="n">
        <v>25.755</v>
      </c>
      <c r="F33" s="9" t="n">
        <v>99.67</v>
      </c>
      <c r="G33" s="2" t="inlineStr">
        <is>
          <t>*3F</t>
        </is>
      </c>
      <c r="H33" s="10">
        <f>B33-B32</f>
        <v/>
      </c>
    </row>
    <row r="34">
      <c r="A34" s="2" t="n">
        <v>17</v>
      </c>
      <c r="B34" s="9" t="n">
        <v>16.101</v>
      </c>
      <c r="C34" s="10" t="n">
        <v>3.9957</v>
      </c>
      <c r="D34" s="10" t="n">
        <v>-1.5</v>
      </c>
      <c r="E34" s="9" t="n">
        <v>25.805</v>
      </c>
      <c r="F34" s="9" t="n">
        <v>99.65000000000001</v>
      </c>
      <c r="G34" s="2" t="inlineStr">
        <is>
          <t>*37</t>
        </is>
      </c>
      <c r="H34" s="10">
        <f>B34-B33</f>
        <v/>
      </c>
    </row>
    <row r="35">
      <c r="A35" s="2" t="n">
        <v>18</v>
      </c>
      <c r="B35" s="9" t="n">
        <v>17.101</v>
      </c>
      <c r="C35" s="10" t="n">
        <v>3.9861</v>
      </c>
      <c r="D35" s="10" t="n">
        <v>-1.5</v>
      </c>
      <c r="E35" s="9" t="n">
        <v>25.855</v>
      </c>
      <c r="F35" s="9" t="n">
        <v>99.63</v>
      </c>
      <c r="G35" s="2" t="inlineStr">
        <is>
          <t>*31</t>
        </is>
      </c>
      <c r="H35" s="10">
        <f>B35-B34</f>
        <v/>
      </c>
    </row>
    <row r="36">
      <c r="A36" s="2" t="n">
        <v>19</v>
      </c>
      <c r="B36" s="9" t="n">
        <v>18.101</v>
      </c>
      <c r="C36" s="10" t="n">
        <v>3.9765</v>
      </c>
      <c r="D36" s="10" t="n">
        <v>-1.5</v>
      </c>
      <c r="E36" s="9" t="n">
        <v>25.905</v>
      </c>
      <c r="F36" s="9" t="n">
        <v>99.59999999999999</v>
      </c>
      <c r="G36" s="2" t="inlineStr">
        <is>
          <t>*32</t>
        </is>
      </c>
      <c r="H36" s="10">
        <f>B36-B35</f>
        <v/>
      </c>
    </row>
    <row r="37">
      <c r="A37" s="2" t="n">
        <v>20</v>
      </c>
      <c r="B37" s="9" t="n">
        <v>19.101</v>
      </c>
      <c r="C37" s="10" t="n">
        <v>3.9669</v>
      </c>
      <c r="D37" s="10" t="n">
        <v>-1.5</v>
      </c>
      <c r="E37" s="9" t="n">
        <v>25.955</v>
      </c>
      <c r="F37" s="9" t="n">
        <v>99.58</v>
      </c>
      <c r="G37" s="2" t="inlineStr">
        <is>
          <t>*30</t>
        </is>
      </c>
      <c r="H37" s="10">
        <f>B37-B36</f>
        <v/>
      </c>
    </row>
    <row r="38">
      <c r="A38" s="2" t="n">
        <v>21</v>
      </c>
      <c r="B38" s="9" t="n">
        <v>20.101</v>
      </c>
      <c r="C38" s="10" t="n">
        <v>3.9574</v>
      </c>
      <c r="D38" s="10" t="n">
        <v>-1.5</v>
      </c>
      <c r="E38" s="9" t="n">
        <v>26.005</v>
      </c>
      <c r="F38" s="9" t="n">
        <v>99.56</v>
      </c>
      <c r="G38" s="2" t="inlineStr">
        <is>
          <t>*34</t>
        </is>
      </c>
      <c r="H38" s="10">
        <f>B38-B37</f>
        <v/>
      </c>
    </row>
    <row r="39">
      <c r="A39" s="2" t="n">
        <v>22</v>
      </c>
      <c r="B39" s="9" t="n">
        <v>21.101</v>
      </c>
      <c r="C39" s="10" t="n">
        <v>3.9478</v>
      </c>
      <c r="D39" s="10" t="n">
        <v>-1.5</v>
      </c>
      <c r="E39" s="9" t="n">
        <v>26.055</v>
      </c>
      <c r="F39" s="9" t="n">
        <v>99.54000000000001</v>
      </c>
      <c r="G39" s="2" t="inlineStr">
        <is>
          <t>*3F</t>
        </is>
      </c>
      <c r="H39" s="10">
        <f>B39-B38</f>
        <v/>
      </c>
    </row>
    <row r="40">
      <c r="A40" s="2" t="n">
        <v>23</v>
      </c>
      <c r="B40" s="9" t="n">
        <v>22.101</v>
      </c>
      <c r="C40" s="10" t="n">
        <v>3.9382</v>
      </c>
      <c r="D40" s="10" t="n">
        <v>-1.5</v>
      </c>
      <c r="E40" s="9" t="n">
        <v>26.105</v>
      </c>
      <c r="F40" s="9" t="n">
        <v>99.52</v>
      </c>
      <c r="G40" s="2" t="inlineStr">
        <is>
          <t>*3C</t>
        </is>
      </c>
      <c r="H40" s="10">
        <f>B40-B39</f>
        <v/>
      </c>
    </row>
    <row r="41">
      <c r="A41" s="2" t="n">
        <v>24</v>
      </c>
      <c r="B41" s="9" t="n">
        <v>23.101</v>
      </c>
      <c r="C41" s="10" t="n">
        <v>3.9286</v>
      </c>
      <c r="D41" s="10" t="n">
        <v>-1.5</v>
      </c>
      <c r="E41" s="9" t="n">
        <v>26.155</v>
      </c>
      <c r="F41" s="9" t="n">
        <v>99.5</v>
      </c>
      <c r="G41" s="2" t="inlineStr">
        <is>
          <t>*3F</t>
        </is>
      </c>
      <c r="H41" s="10">
        <f>B41-B40</f>
        <v/>
      </c>
    </row>
    <row r="42">
      <c r="A42" s="2" t="n">
        <v>25</v>
      </c>
      <c r="B42" s="9" t="n">
        <v>24.101</v>
      </c>
      <c r="C42" s="10" t="n">
        <v>3.919</v>
      </c>
      <c r="D42" s="10" t="n">
        <v>-1.5</v>
      </c>
      <c r="E42" s="9" t="n">
        <v>26.205</v>
      </c>
      <c r="F42" s="9" t="n">
        <v>99.48</v>
      </c>
      <c r="G42" s="2" t="inlineStr">
        <is>
          <t>*33</t>
        </is>
      </c>
      <c r="H42" s="10">
        <f>B42-B41</f>
        <v/>
      </c>
    </row>
    <row r="43">
      <c r="A43" s="2" t="n">
        <v>26</v>
      </c>
      <c r="B43" s="9" t="n">
        <v>25.101</v>
      </c>
      <c r="C43" s="10" t="n">
        <v>3.9094</v>
      </c>
      <c r="D43" s="10" t="n">
        <v>-1.5</v>
      </c>
      <c r="E43" s="9" t="n">
        <v>26.255</v>
      </c>
      <c r="F43" s="9" t="n">
        <v>99.45999999999999</v>
      </c>
      <c r="G43" s="2" t="inlineStr">
        <is>
          <t>*3C</t>
        </is>
      </c>
      <c r="H43" s="10">
        <f>B43-B42</f>
        <v/>
      </c>
    </row>
    <row r="44">
      <c r="A44" s="2" t="n">
        <v>27</v>
      </c>
      <c r="B44" s="9" t="n">
        <v>26.101</v>
      </c>
      <c r="C44" s="10" t="n">
        <v>3.8999</v>
      </c>
      <c r="D44" s="10" t="n">
        <v>-1.5</v>
      </c>
      <c r="E44" s="9" t="n">
        <v>26.305</v>
      </c>
      <c r="F44" s="9" t="n">
        <v>99.44</v>
      </c>
      <c r="G44" s="2" t="inlineStr">
        <is>
          <t>*3C</t>
        </is>
      </c>
      <c r="H44" s="10">
        <f>B44-B43</f>
        <v/>
      </c>
    </row>
    <row r="45">
      <c r="A45" s="2" t="n">
        <v>28</v>
      </c>
      <c r="B45" s="9" t="n">
        <v>27.101</v>
      </c>
      <c r="C45" s="10" t="n">
        <v>3.8903</v>
      </c>
      <c r="D45" s="10" t="n">
        <v>-1.5</v>
      </c>
      <c r="E45" s="9" t="n">
        <v>26.355</v>
      </c>
      <c r="F45" s="9" t="n">
        <v>99.42</v>
      </c>
      <c r="G45" s="2" t="inlineStr">
        <is>
          <t>*3D</t>
        </is>
      </c>
      <c r="H45" s="10">
        <f>B45-B44</f>
        <v/>
      </c>
    </row>
    <row r="46">
      <c r="A46" s="2" t="n">
        <v>29</v>
      </c>
      <c r="B46" s="9" t="n">
        <v>28.101</v>
      </c>
      <c r="C46" s="10" t="n">
        <v>3.8807</v>
      </c>
      <c r="D46" s="10" t="n">
        <v>-1.5</v>
      </c>
      <c r="E46" s="9" t="n">
        <v>26.405</v>
      </c>
      <c r="F46" s="9" t="n">
        <v>99.40000000000001</v>
      </c>
      <c r="G46" s="2" t="inlineStr">
        <is>
          <t>*37</t>
        </is>
      </c>
      <c r="H46" s="10">
        <f>B46-B45</f>
        <v/>
      </c>
    </row>
    <row r="47">
      <c r="A47" s="2" t="n">
        <v>30</v>
      </c>
      <c r="B47" s="9" t="n">
        <v>29.101</v>
      </c>
      <c r="C47" s="10" t="n">
        <v>3.8711</v>
      </c>
      <c r="D47" s="10" t="n">
        <v>-1.5</v>
      </c>
      <c r="E47" s="9" t="n">
        <v>26.455</v>
      </c>
      <c r="F47" s="9" t="n">
        <v>99.38</v>
      </c>
      <c r="G47" s="2" t="inlineStr">
        <is>
          <t>*34</t>
        </is>
      </c>
      <c r="H47" s="10">
        <f>B47-B46</f>
        <v/>
      </c>
    </row>
    <row r="48">
      <c r="A48" s="2" t="n">
        <v>31</v>
      </c>
      <c r="B48" s="9" t="n">
        <v>30.101</v>
      </c>
      <c r="C48" s="10" t="n">
        <v>3.8615</v>
      </c>
      <c r="D48" s="10" t="n">
        <v>-1.5</v>
      </c>
      <c r="E48" s="9" t="n">
        <v>26.505</v>
      </c>
      <c r="F48" s="9" t="n">
        <v>99.34999999999999</v>
      </c>
      <c r="G48" s="2" t="inlineStr">
        <is>
          <t>*30</t>
        </is>
      </c>
      <c r="H48" s="10">
        <f>B48-B47</f>
        <v/>
      </c>
    </row>
    <row r="49">
      <c r="A49" s="2" t="n">
        <v>32</v>
      </c>
      <c r="B49" s="9" t="n">
        <v>31.101</v>
      </c>
      <c r="C49" s="10" t="n">
        <v>3.8519</v>
      </c>
      <c r="D49" s="10" t="n">
        <v>-1.5</v>
      </c>
      <c r="E49" s="9" t="n">
        <v>26.555</v>
      </c>
      <c r="F49" s="9" t="n">
        <v>99.33</v>
      </c>
      <c r="G49" s="2" t="inlineStr">
        <is>
          <t>*3D</t>
        </is>
      </c>
      <c r="H49" s="10">
        <f>B49-B48</f>
        <v/>
      </c>
    </row>
    <row r="50">
      <c r="A50" s="2" t="n">
        <v>33</v>
      </c>
      <c r="B50" s="9" t="n">
        <v>32.101</v>
      </c>
      <c r="C50" s="10" t="n">
        <v>3.8424</v>
      </c>
      <c r="D50" s="10" t="n">
        <v>-1.5</v>
      </c>
      <c r="E50" s="9" t="n">
        <v>26.605</v>
      </c>
      <c r="F50" s="9" t="n">
        <v>99.31</v>
      </c>
      <c r="G50" s="2" t="inlineStr">
        <is>
          <t>*35</t>
        </is>
      </c>
      <c r="H50" s="10">
        <f>B50-B49</f>
        <v/>
      </c>
    </row>
    <row r="51">
      <c r="A51" s="2" t="n">
        <v>34</v>
      </c>
      <c r="B51" s="9" t="n">
        <v>33.101</v>
      </c>
      <c r="C51" s="10" t="n">
        <v>3.8328</v>
      </c>
      <c r="D51" s="10" t="n">
        <v>-1.5</v>
      </c>
      <c r="E51" s="9" t="n">
        <v>26.655</v>
      </c>
      <c r="F51" s="9" t="n">
        <v>99.29000000000001</v>
      </c>
      <c r="G51" s="2" t="inlineStr">
        <is>
          <t>*33</t>
        </is>
      </c>
      <c r="H51" s="10">
        <f>B51-B50</f>
        <v/>
      </c>
    </row>
    <row r="52">
      <c r="A52" s="2" t="n">
        <v>35</v>
      </c>
      <c r="B52" s="9" t="n">
        <v>34.101</v>
      </c>
      <c r="C52" s="10" t="n">
        <v>3.8232</v>
      </c>
      <c r="D52" s="10" t="n">
        <v>-1.5</v>
      </c>
      <c r="E52" s="9" t="n">
        <v>26.705</v>
      </c>
      <c r="F52" s="9" t="n">
        <v>99.27</v>
      </c>
      <c r="G52" s="2" t="inlineStr">
        <is>
          <t>*34</t>
        </is>
      </c>
      <c r="H52" s="10">
        <f>B52-B51</f>
        <v/>
      </c>
    </row>
    <row r="53">
      <c r="A53" s="2" t="n">
        <v>36</v>
      </c>
      <c r="B53" s="9" t="n">
        <v>35.101</v>
      </c>
      <c r="C53" s="10" t="n">
        <v>3.8136</v>
      </c>
      <c r="D53" s="10" t="n">
        <v>-1.5</v>
      </c>
      <c r="E53" s="9" t="n">
        <v>26.755</v>
      </c>
      <c r="F53" s="9" t="n">
        <v>99.25</v>
      </c>
      <c r="G53" s="2" t="inlineStr">
        <is>
          <t>*35</t>
        </is>
      </c>
      <c r="H53" s="10">
        <f>B53-B52</f>
        <v/>
      </c>
    </row>
    <row r="54">
      <c r="A54" s="2" t="n">
        <v>37</v>
      </c>
      <c r="B54" s="9" t="n">
        <v>36.101</v>
      </c>
      <c r="C54" s="10" t="n">
        <v>3.804</v>
      </c>
      <c r="D54" s="10" t="n">
        <v>-1.5</v>
      </c>
      <c r="E54" s="9" t="n">
        <v>26.805</v>
      </c>
      <c r="F54" s="9" t="n">
        <v>99.23</v>
      </c>
      <c r="G54" s="2" t="inlineStr">
        <is>
          <t>*3A</t>
        </is>
      </c>
      <c r="H54" s="10">
        <f>B54-B53</f>
        <v/>
      </c>
    </row>
    <row r="55">
      <c r="A55" s="2" t="n">
        <v>38</v>
      </c>
      <c r="B55" s="9" t="n">
        <v>37.101</v>
      </c>
      <c r="C55" s="10" t="n">
        <v>3.7944</v>
      </c>
      <c r="D55" s="10" t="n">
        <v>-1.5</v>
      </c>
      <c r="E55" s="9" t="n">
        <v>26.855</v>
      </c>
      <c r="F55" s="9" t="n">
        <v>99.20999999999999</v>
      </c>
      <c r="G55" s="2" t="inlineStr">
        <is>
          <t>*3E</t>
        </is>
      </c>
      <c r="H55" s="10">
        <f>B55-B54</f>
        <v/>
      </c>
    </row>
    <row r="56">
      <c r="A56" s="2" t="n">
        <v>39</v>
      </c>
      <c r="B56" s="9" t="n">
        <v>38.101</v>
      </c>
      <c r="C56" s="10" t="n">
        <v>3.7849</v>
      </c>
      <c r="D56" s="10" t="n">
        <v>-1.5</v>
      </c>
      <c r="E56" s="9" t="n">
        <v>26.905</v>
      </c>
      <c r="F56" s="9" t="n">
        <v>99.19</v>
      </c>
      <c r="G56" s="2" t="inlineStr">
        <is>
          <t>*32</t>
        </is>
      </c>
      <c r="H56" s="10">
        <f>B56-B55</f>
        <v/>
      </c>
    </row>
    <row r="57">
      <c r="A57" s="2" t="n">
        <v>40</v>
      </c>
      <c r="B57" s="9" t="n">
        <v>39.101</v>
      </c>
      <c r="C57" s="10" t="n">
        <v>3.7753</v>
      </c>
      <c r="D57" s="10" t="n">
        <v>-1.5</v>
      </c>
      <c r="E57" s="9" t="n">
        <v>26.955</v>
      </c>
      <c r="F57" s="9" t="n">
        <v>99.17</v>
      </c>
      <c r="G57" s="2" t="inlineStr">
        <is>
          <t>*3C</t>
        </is>
      </c>
      <c r="H57" s="10">
        <f>B57-B56</f>
        <v/>
      </c>
    </row>
    <row r="58">
      <c r="A58" s="2" t="n">
        <v>41</v>
      </c>
      <c r="B58" s="9" t="n">
        <v>40.101</v>
      </c>
      <c r="C58" s="10" t="n">
        <v>3.7657</v>
      </c>
      <c r="D58" s="10" t="n">
        <v>-1.5</v>
      </c>
      <c r="E58" s="9" t="n">
        <v>27.005</v>
      </c>
      <c r="F58" s="9" t="n">
        <v>99.15000000000001</v>
      </c>
      <c r="G58" s="2" t="inlineStr">
        <is>
          <t>*38</t>
        </is>
      </c>
      <c r="H58" s="10">
        <f>B58-B57</f>
        <v/>
      </c>
    </row>
    <row r="59">
      <c r="A59" s="2" t="n">
        <v>42</v>
      </c>
      <c r="B59" s="9" t="n">
        <v>41.101</v>
      </c>
      <c r="C59" s="10" t="n">
        <v>3.7561</v>
      </c>
      <c r="D59" s="10" t="n">
        <v>-1.5</v>
      </c>
      <c r="E59" s="9" t="n">
        <v>27.055</v>
      </c>
      <c r="F59" s="9" t="n">
        <v>99.13</v>
      </c>
      <c r="G59" s="2" t="inlineStr">
        <is>
          <t>*3C</t>
        </is>
      </c>
      <c r="H59" s="10">
        <f>B59-B58</f>
        <v/>
      </c>
    </row>
    <row r="60">
      <c r="A60" s="2" t="n">
        <v>43</v>
      </c>
      <c r="B60" s="9" t="n">
        <v>42.101</v>
      </c>
      <c r="C60" s="10" t="n">
        <v>3.7465</v>
      </c>
      <c r="D60" s="10" t="n">
        <v>-1.5</v>
      </c>
      <c r="E60" s="9" t="n">
        <v>27.105</v>
      </c>
      <c r="F60" s="9" t="n">
        <v>99.09999999999999</v>
      </c>
      <c r="G60" s="2" t="inlineStr">
        <is>
          <t>*3D</t>
        </is>
      </c>
      <c r="H60" s="10">
        <f>B60-B59</f>
        <v/>
      </c>
    </row>
    <row r="61">
      <c r="A61" s="2" t="n">
        <v>44</v>
      </c>
      <c r="B61" s="9" t="n">
        <v>43.101</v>
      </c>
      <c r="C61" s="10" t="n">
        <v>3.7369</v>
      </c>
      <c r="D61" s="10" t="n">
        <v>-1.5</v>
      </c>
      <c r="E61" s="9" t="n">
        <v>27.155</v>
      </c>
      <c r="F61" s="9" t="n">
        <v>99.08</v>
      </c>
      <c r="G61" s="2" t="inlineStr">
        <is>
          <t>*3B</t>
        </is>
      </c>
      <c r="H61" s="10">
        <f>B61-B60</f>
        <v/>
      </c>
    </row>
    <row r="62">
      <c r="A62" s="2" t="n">
        <v>45</v>
      </c>
      <c r="B62" s="9" t="n">
        <v>44.101</v>
      </c>
      <c r="C62" s="10" t="n">
        <v>3.7274</v>
      </c>
      <c r="D62" s="10" t="n">
        <v>-1.5</v>
      </c>
      <c r="E62" s="9" t="n">
        <v>27.205</v>
      </c>
      <c r="F62" s="9" t="n">
        <v>99.06</v>
      </c>
      <c r="G62" s="2" t="inlineStr">
        <is>
          <t>*39</t>
        </is>
      </c>
      <c r="H62" s="10">
        <f>B62-B61</f>
        <v/>
      </c>
    </row>
    <row r="63">
      <c r="A63" s="2" t="n">
        <v>46</v>
      </c>
      <c r="B63" s="9" t="n">
        <v>45.101</v>
      </c>
      <c r="C63" s="10" t="n">
        <v>3.7178</v>
      </c>
      <c r="D63" s="10" t="n">
        <v>-1.5</v>
      </c>
      <c r="E63" s="9" t="n">
        <v>27.255</v>
      </c>
      <c r="F63" s="9" t="n">
        <v>99.04000000000001</v>
      </c>
      <c r="G63" s="2" t="inlineStr">
        <is>
          <t>*30</t>
        </is>
      </c>
      <c r="H63" s="10">
        <f>B63-B62</f>
        <v/>
      </c>
    </row>
    <row r="64">
      <c r="A64" s="2" t="n">
        <v>47</v>
      </c>
      <c r="B64" s="9" t="n">
        <v>46.101</v>
      </c>
      <c r="C64" s="10" t="n">
        <v>3.7082</v>
      </c>
      <c r="D64" s="10" t="n">
        <v>-1.5</v>
      </c>
      <c r="E64" s="9" t="n">
        <v>27.305</v>
      </c>
      <c r="F64" s="9" t="n">
        <v>99.02</v>
      </c>
      <c r="G64" s="2" t="inlineStr">
        <is>
          <t>*35</t>
        </is>
      </c>
      <c r="H64" s="10">
        <f>B64-B63</f>
        <v/>
      </c>
    </row>
    <row r="65">
      <c r="A65" s="2" t="n">
        <v>48</v>
      </c>
      <c r="B65" s="9" t="n">
        <v>47.101</v>
      </c>
      <c r="C65" s="10" t="n">
        <v>3.6986</v>
      </c>
      <c r="D65" s="10" t="n">
        <v>-1.5</v>
      </c>
      <c r="E65" s="9" t="n">
        <v>27.355</v>
      </c>
      <c r="F65" s="9" t="n">
        <v>99</v>
      </c>
      <c r="G65" s="2" t="inlineStr">
        <is>
          <t>*3F</t>
        </is>
      </c>
      <c r="H65" s="10">
        <f>B65-B64</f>
        <v/>
      </c>
    </row>
    <row r="66">
      <c r="A66" s="2" t="n">
        <v>49</v>
      </c>
      <c r="B66" s="9" t="n">
        <v>48.101</v>
      </c>
      <c r="C66" s="10" t="n">
        <v>3.689</v>
      </c>
      <c r="D66" s="10" t="n">
        <v>-1.5</v>
      </c>
      <c r="E66" s="9" t="n">
        <v>27.405</v>
      </c>
      <c r="F66" s="9" t="n">
        <v>98.98</v>
      </c>
      <c r="G66" s="2" t="inlineStr">
        <is>
          <t>*34</t>
        </is>
      </c>
      <c r="H66" s="10">
        <f>B66-B65</f>
        <v/>
      </c>
    </row>
    <row r="67">
      <c r="A67" s="2" t="n">
        <v>50</v>
      </c>
      <c r="B67" s="9" t="n">
        <v>49.101</v>
      </c>
      <c r="C67" s="10" t="n">
        <v>3.6794</v>
      </c>
      <c r="D67" s="10" t="n">
        <v>-1.5</v>
      </c>
      <c r="E67" s="9" t="n">
        <v>27.455</v>
      </c>
      <c r="F67" s="9" t="n">
        <v>98.95999999999999</v>
      </c>
      <c r="G67" s="2" t="inlineStr">
        <is>
          <t>*35</t>
        </is>
      </c>
      <c r="H67" s="10">
        <f>B67-B66</f>
        <v/>
      </c>
    </row>
    <row r="68">
      <c r="A68" s="2" t="n">
        <v>51</v>
      </c>
      <c r="B68" s="9" t="n">
        <v>50.101</v>
      </c>
      <c r="C68" s="10" t="n">
        <v>3.6699</v>
      </c>
      <c r="D68" s="10" t="n">
        <v>-1.5</v>
      </c>
      <c r="E68" s="9" t="n">
        <v>27.505</v>
      </c>
      <c r="F68" s="9" t="n">
        <v>98.94</v>
      </c>
      <c r="G68" s="2" t="inlineStr">
        <is>
          <t>*37</t>
        </is>
      </c>
      <c r="H68" s="10">
        <f>B68-B67</f>
        <v/>
      </c>
    </row>
    <row r="69">
      <c r="A69" s="2" t="n">
        <v>52</v>
      </c>
      <c r="B69" s="9" t="n">
        <v>51.101</v>
      </c>
      <c r="C69" s="10" t="n">
        <v>3.6603</v>
      </c>
      <c r="D69" s="10" t="n">
        <v>-1.5</v>
      </c>
      <c r="E69" s="9" t="n">
        <v>27.555</v>
      </c>
      <c r="F69" s="9" t="n">
        <v>98.92</v>
      </c>
      <c r="G69" s="2" t="inlineStr">
        <is>
          <t>*36</t>
        </is>
      </c>
      <c r="H69" s="10">
        <f>B69-B68</f>
        <v/>
      </c>
    </row>
    <row r="70">
      <c r="A70" s="2" t="n">
        <v>53</v>
      </c>
      <c r="B70" s="9" t="n">
        <v>52.101</v>
      </c>
      <c r="C70" s="10" t="n">
        <v>3.6507</v>
      </c>
      <c r="D70" s="10" t="n">
        <v>-1.5</v>
      </c>
      <c r="E70" s="9" t="n">
        <v>27.605</v>
      </c>
      <c r="F70" s="9" t="n">
        <v>98.90000000000001</v>
      </c>
      <c r="G70" s="2" t="inlineStr">
        <is>
          <t>*36</t>
        </is>
      </c>
      <c r="H70" s="10">
        <f>B70-B69</f>
        <v/>
      </c>
    </row>
    <row r="71">
      <c r="A71" s="2" t="n">
        <v>54</v>
      </c>
      <c r="B71" s="9" t="n">
        <v>53.101</v>
      </c>
      <c r="C71" s="10" t="n">
        <v>3.6411</v>
      </c>
      <c r="D71" s="10" t="n">
        <v>-1.5</v>
      </c>
      <c r="E71" s="9" t="n">
        <v>27.655</v>
      </c>
      <c r="F71" s="9" t="n">
        <v>98.88</v>
      </c>
      <c r="G71" s="2" t="inlineStr">
        <is>
          <t>*3D</t>
        </is>
      </c>
      <c r="H71" s="10">
        <f>B71-B70</f>
        <v/>
      </c>
    </row>
    <row r="72">
      <c r="A72" s="2" t="n">
        <v>55</v>
      </c>
      <c r="B72" s="9" t="n">
        <v>54.101</v>
      </c>
      <c r="C72" s="10" t="n">
        <v>3.6315</v>
      </c>
      <c r="D72" s="10" t="n">
        <v>-1.5</v>
      </c>
      <c r="E72" s="9" t="n">
        <v>27.705</v>
      </c>
      <c r="F72" s="9" t="n">
        <v>98.84999999999999</v>
      </c>
      <c r="G72" s="2" t="inlineStr">
        <is>
          <t>*30</t>
        </is>
      </c>
      <c r="H72" s="10">
        <f>B72-B71</f>
        <v/>
      </c>
    </row>
    <row r="73">
      <c r="A73" s="2" t="n">
        <v>56</v>
      </c>
      <c r="B73" s="9" t="n">
        <v>55.101</v>
      </c>
      <c r="C73" s="10" t="n">
        <v>3.6219</v>
      </c>
      <c r="D73" s="10" t="n">
        <v>-1.5</v>
      </c>
      <c r="E73" s="9" t="n">
        <v>27.755</v>
      </c>
      <c r="F73" s="9" t="n">
        <v>98.83</v>
      </c>
      <c r="G73" s="2" t="inlineStr">
        <is>
          <t>*3F</t>
        </is>
      </c>
      <c r="H73" s="10">
        <f>B73-B72</f>
        <v/>
      </c>
    </row>
    <row r="74">
      <c r="A74" s="2" t="n">
        <v>57</v>
      </c>
      <c r="B74" s="9" t="n">
        <v>56.101</v>
      </c>
      <c r="C74" s="10" t="n">
        <v>3.6124</v>
      </c>
      <c r="D74" s="10" t="n">
        <v>-1.5</v>
      </c>
      <c r="E74" s="9" t="n">
        <v>27.805</v>
      </c>
      <c r="F74" s="9" t="n">
        <v>98.81</v>
      </c>
      <c r="G74" s="2" t="inlineStr">
        <is>
          <t>*39</t>
        </is>
      </c>
      <c r="H74" s="10">
        <f>B74-B73</f>
        <v/>
      </c>
    </row>
    <row r="75">
      <c r="A75" s="2" t="n">
        <v>58</v>
      </c>
      <c r="B75" s="9" t="n">
        <v>57.101</v>
      </c>
      <c r="C75" s="10" t="n">
        <v>3.6028</v>
      </c>
      <c r="D75" s="10" t="n">
        <v>-1.5</v>
      </c>
      <c r="E75" s="9" t="n">
        <v>27.855</v>
      </c>
      <c r="F75" s="9" t="n">
        <v>98.79000000000001</v>
      </c>
      <c r="G75" s="2" t="inlineStr">
        <is>
          <t>*37</t>
        </is>
      </c>
      <c r="H75" s="10">
        <f>B75-B74</f>
        <v/>
      </c>
    </row>
    <row r="76">
      <c r="A76" s="2" t="n">
        <v>59</v>
      </c>
      <c r="B76" s="9" t="n">
        <v>58.101</v>
      </c>
      <c r="C76" s="10" t="n">
        <v>3.5932</v>
      </c>
      <c r="D76" s="10" t="n">
        <v>-1.5</v>
      </c>
      <c r="E76" s="9" t="n">
        <v>27.905</v>
      </c>
      <c r="F76" s="9" t="n">
        <v>98.77</v>
      </c>
      <c r="G76" s="2" t="inlineStr">
        <is>
          <t>*33</t>
        </is>
      </c>
      <c r="H76" s="10">
        <f>B76-B75</f>
        <v/>
      </c>
    </row>
    <row r="77">
      <c r="A77" s="2" t="n">
        <v>60</v>
      </c>
      <c r="B77" s="9" t="n">
        <v>59.101</v>
      </c>
      <c r="C77" s="10" t="n">
        <v>3.5836</v>
      </c>
      <c r="D77" s="10" t="n">
        <v>-1.5</v>
      </c>
      <c r="E77" s="9" t="n">
        <v>27.955</v>
      </c>
      <c r="F77" s="9" t="n">
        <v>98.75</v>
      </c>
      <c r="G77" s="2" t="inlineStr">
        <is>
          <t>*30</t>
        </is>
      </c>
      <c r="H77" s="10">
        <f>B77-B76</f>
        <v/>
      </c>
    </row>
    <row r="78">
      <c r="A78" s="2" t="n">
        <v>61</v>
      </c>
      <c r="B78" s="9" t="n">
        <v>60.101</v>
      </c>
      <c r="C78" s="10" t="n">
        <v>3.574</v>
      </c>
      <c r="D78" s="10" t="n">
        <v>-1.5</v>
      </c>
      <c r="E78" s="9" t="n">
        <v>28.005</v>
      </c>
      <c r="F78" s="9" t="n">
        <v>98.73</v>
      </c>
      <c r="G78" s="2" t="inlineStr">
        <is>
          <t>*31</t>
        </is>
      </c>
      <c r="H78" s="10">
        <f>B78-B77</f>
        <v/>
      </c>
    </row>
    <row r="79">
      <c r="A79" s="2" t="n">
        <v>62</v>
      </c>
      <c r="B79" s="9" t="n">
        <v>61.101</v>
      </c>
      <c r="C79" s="10" t="n">
        <v>3.5644</v>
      </c>
      <c r="D79" s="10" t="n">
        <v>-1.5</v>
      </c>
      <c r="E79" s="9" t="n">
        <v>28.055</v>
      </c>
      <c r="F79" s="9" t="n">
        <v>98.70999999999999</v>
      </c>
      <c r="G79" s="2" t="inlineStr">
        <is>
          <t>*32</t>
        </is>
      </c>
      <c r="H79" s="10">
        <f>B79-B78</f>
        <v/>
      </c>
    </row>
    <row r="80">
      <c r="A80" s="2" t="n">
        <v>63</v>
      </c>
      <c r="B80" s="9" t="n">
        <v>62.101</v>
      </c>
      <c r="C80" s="10" t="n">
        <v>3.5549</v>
      </c>
      <c r="D80" s="10" t="n">
        <v>-1.5</v>
      </c>
      <c r="E80" s="9" t="n">
        <v>28.105</v>
      </c>
      <c r="F80" s="9" t="n">
        <v>98.69</v>
      </c>
      <c r="G80" s="2" t="inlineStr">
        <is>
          <t>*32</t>
        </is>
      </c>
      <c r="H80" s="10">
        <f>B80-B79</f>
        <v/>
      </c>
    </row>
    <row r="81">
      <c r="A81" s="2" t="n">
        <v>64</v>
      </c>
      <c r="B81" s="9" t="n">
        <v>63.101</v>
      </c>
      <c r="C81" s="10" t="n">
        <v>3.5453</v>
      </c>
      <c r="D81" s="10" t="n">
        <v>-1.5</v>
      </c>
      <c r="E81" s="9" t="n">
        <v>28.155</v>
      </c>
      <c r="F81" s="9" t="n">
        <v>98.67</v>
      </c>
      <c r="G81" s="2" t="inlineStr">
        <is>
          <t>*32</t>
        </is>
      </c>
      <c r="H81" s="10">
        <f>B81-B80</f>
        <v/>
      </c>
    </row>
    <row r="82">
      <c r="A82" s="2" t="n">
        <v>65</v>
      </c>
      <c r="B82" s="9" t="n">
        <v>64.101</v>
      </c>
      <c r="C82" s="10" t="n">
        <v>3.5357</v>
      </c>
      <c r="D82" s="10" t="n">
        <v>-1.5</v>
      </c>
      <c r="E82" s="9" t="n">
        <v>28.205</v>
      </c>
      <c r="F82" s="9" t="n">
        <v>98.65000000000001</v>
      </c>
      <c r="G82" s="2" t="inlineStr">
        <is>
          <t>*32</t>
        </is>
      </c>
      <c r="H82" s="10">
        <f>B82-B81</f>
        <v/>
      </c>
    </row>
    <row r="83">
      <c r="A83" s="2" t="n">
        <v>66</v>
      </c>
      <c r="B83" s="9" t="n">
        <v>65.101</v>
      </c>
      <c r="C83" s="10" t="n">
        <v>3.5261</v>
      </c>
      <c r="D83" s="10" t="n">
        <v>-1.5</v>
      </c>
      <c r="E83" s="9" t="n">
        <v>28.255</v>
      </c>
      <c r="F83" s="9" t="n">
        <v>98.63</v>
      </c>
      <c r="G83" s="2" t="inlineStr">
        <is>
          <t>*34</t>
        </is>
      </c>
      <c r="H83" s="10">
        <f>B83-B82</f>
        <v/>
      </c>
    </row>
    <row r="84">
      <c r="A84" s="2" t="n">
        <v>67</v>
      </c>
      <c r="B84" s="9" t="n">
        <v>66.101</v>
      </c>
      <c r="C84" s="10" t="n">
        <v>3.5165</v>
      </c>
      <c r="D84" s="10" t="n">
        <v>-1.5</v>
      </c>
      <c r="E84" s="9" t="n">
        <v>28.305</v>
      </c>
      <c r="F84" s="9" t="n">
        <v>98.59999999999999</v>
      </c>
      <c r="G84" s="2" t="inlineStr">
        <is>
          <t>*37</t>
        </is>
      </c>
      <c r="H84" s="10">
        <f>B84-B83</f>
        <v/>
      </c>
    </row>
    <row r="85">
      <c r="A85" s="2" t="n">
        <v>68</v>
      </c>
      <c r="B85" s="9" t="n">
        <v>67.101</v>
      </c>
      <c r="C85" s="10" t="n">
        <v>3.5069</v>
      </c>
      <c r="D85" s="10" t="n">
        <v>-1.5</v>
      </c>
      <c r="E85" s="9" t="n">
        <v>28.355</v>
      </c>
      <c r="F85" s="9" t="n">
        <v>98.58</v>
      </c>
      <c r="G85" s="2" t="inlineStr">
        <is>
          <t>*35</t>
        </is>
      </c>
      <c r="H85" s="10">
        <f>B85-B84</f>
        <v/>
      </c>
    </row>
    <row r="86">
      <c r="A86" s="2" t="n">
        <v>69</v>
      </c>
      <c r="B86" s="9" t="n">
        <v>68.101</v>
      </c>
      <c r="C86" s="10" t="n">
        <v>3.4974</v>
      </c>
      <c r="D86" s="10" t="n">
        <v>-1.5</v>
      </c>
      <c r="E86" s="9" t="n">
        <v>28.405</v>
      </c>
      <c r="F86" s="9" t="n">
        <v>98.56</v>
      </c>
      <c r="G86" s="2" t="inlineStr">
        <is>
          <t>*32</t>
        </is>
      </c>
      <c r="H86" s="10">
        <f>B86-B85</f>
        <v/>
      </c>
    </row>
    <row r="87">
      <c r="A87" s="2" t="n">
        <v>70</v>
      </c>
      <c r="B87" s="9" t="n">
        <v>69.101</v>
      </c>
      <c r="C87" s="10" t="n">
        <v>3.4878</v>
      </c>
      <c r="D87" s="10" t="n">
        <v>-1.5</v>
      </c>
      <c r="E87" s="9" t="n">
        <v>28.455</v>
      </c>
      <c r="F87" s="9" t="n">
        <v>98.54000000000001</v>
      </c>
      <c r="G87" s="2" t="inlineStr">
        <is>
          <t>*39</t>
        </is>
      </c>
      <c r="H87" s="10">
        <f>B87-B86</f>
        <v/>
      </c>
    </row>
    <row r="88">
      <c r="A88" s="2" t="n">
        <v>71</v>
      </c>
      <c r="B88" s="9" t="n">
        <v>70.101</v>
      </c>
      <c r="C88" s="10" t="n">
        <v>3.4782</v>
      </c>
      <c r="D88" s="10" t="n">
        <v>-1.5</v>
      </c>
      <c r="E88" s="9" t="n">
        <v>28.505</v>
      </c>
      <c r="F88" s="9" t="n">
        <v>98.52</v>
      </c>
      <c r="G88" s="2" t="inlineStr">
        <is>
          <t>*39</t>
        </is>
      </c>
      <c r="H88" s="10">
        <f>B88-B87</f>
        <v/>
      </c>
    </row>
    <row r="89">
      <c r="A89" s="2" t="n">
        <v>72</v>
      </c>
      <c r="B89" s="9" t="n">
        <v>71.101</v>
      </c>
      <c r="C89" s="10" t="n">
        <v>3.4686</v>
      </c>
      <c r="D89" s="10" t="n">
        <v>-1.5</v>
      </c>
      <c r="E89" s="9" t="n">
        <v>28.555</v>
      </c>
      <c r="F89" s="9" t="n">
        <v>98.5</v>
      </c>
      <c r="G89" s="2" t="inlineStr">
        <is>
          <t>*3A</t>
        </is>
      </c>
      <c r="H89" s="10">
        <f>B89-B88</f>
        <v/>
      </c>
    </row>
    <row r="90">
      <c r="A90" s="2" t="n">
        <v>73</v>
      </c>
      <c r="B90" s="9" t="n">
        <v>72.101</v>
      </c>
      <c r="C90" s="10" t="n">
        <v>3.459</v>
      </c>
      <c r="D90" s="10" t="n">
        <v>-1.5</v>
      </c>
      <c r="E90" s="9" t="n">
        <v>28.605</v>
      </c>
      <c r="F90" s="9" t="n">
        <v>98.48</v>
      </c>
      <c r="G90" s="2" t="inlineStr">
        <is>
          <t>*32</t>
        </is>
      </c>
      <c r="H90" s="10">
        <f>B90-B89</f>
        <v/>
      </c>
    </row>
    <row r="91">
      <c r="A91" s="2" t="n">
        <v>74</v>
      </c>
      <c r="B91" s="9" t="n">
        <v>73.101</v>
      </c>
      <c r="C91" s="10" t="n">
        <v>3.4494</v>
      </c>
      <c r="D91" s="10" t="n">
        <v>-1.5</v>
      </c>
      <c r="E91" s="9" t="n">
        <v>28.655</v>
      </c>
      <c r="F91" s="9" t="n">
        <v>98.45999999999999</v>
      </c>
      <c r="G91" s="2" t="inlineStr">
        <is>
          <t>*3D</t>
        </is>
      </c>
      <c r="H91" s="10">
        <f>B91-B90</f>
        <v/>
      </c>
    </row>
    <row r="92">
      <c r="A92" s="2" t="n">
        <v>75</v>
      </c>
      <c r="B92" s="9" t="n">
        <v>74.101</v>
      </c>
      <c r="C92" s="10" t="n">
        <v>3.4399</v>
      </c>
      <c r="D92" s="10" t="n">
        <v>-1.5</v>
      </c>
      <c r="E92" s="9" t="n">
        <v>28.705</v>
      </c>
      <c r="F92" s="9" t="n">
        <v>98.44</v>
      </c>
      <c r="G92" s="2" t="inlineStr">
        <is>
          <t>*36</t>
        </is>
      </c>
      <c r="H92" s="10">
        <f>B92-B91</f>
        <v/>
      </c>
    </row>
    <row r="93">
      <c r="A93" s="2" t="n">
        <v>76</v>
      </c>
      <c r="B93" s="9" t="n">
        <v>75.101</v>
      </c>
      <c r="C93" s="10" t="n">
        <v>3.4303</v>
      </c>
      <c r="D93" s="10" t="n">
        <v>-1.5</v>
      </c>
      <c r="E93" s="9" t="n">
        <v>28.755</v>
      </c>
      <c r="F93" s="9" t="n">
        <v>98.42</v>
      </c>
      <c r="G93" s="2" t="inlineStr">
        <is>
          <t>*37</t>
        </is>
      </c>
      <c r="H93" s="10">
        <f>B93-B92</f>
        <v/>
      </c>
    </row>
    <row r="94">
      <c r="A94" s="2" t="n">
        <v>77</v>
      </c>
      <c r="B94" s="9" t="n">
        <v>76.101</v>
      </c>
      <c r="C94" s="10" t="n">
        <v>3.4207</v>
      </c>
      <c r="D94" s="10" t="n">
        <v>-1.5</v>
      </c>
      <c r="E94" s="9" t="n">
        <v>28.805</v>
      </c>
      <c r="F94" s="9" t="n">
        <v>98.40000000000001</v>
      </c>
      <c r="G94" s="2" t="inlineStr">
        <is>
          <t>*39</t>
        </is>
      </c>
      <c r="H94" s="10">
        <f>B94-B93</f>
        <v/>
      </c>
    </row>
    <row r="95">
      <c r="A95" s="2" t="n">
        <v>78</v>
      </c>
      <c r="B95" s="9" t="n">
        <v>77.101</v>
      </c>
      <c r="C95" s="10" t="n">
        <v>3.4111</v>
      </c>
      <c r="D95" s="10" t="n">
        <v>-1.5</v>
      </c>
      <c r="E95" s="9" t="n">
        <v>28.855</v>
      </c>
      <c r="F95" s="9" t="n">
        <v>98.38</v>
      </c>
      <c r="G95" s="2" t="inlineStr">
        <is>
          <t>*36</t>
        </is>
      </c>
      <c r="H95" s="10">
        <f>B95-B94</f>
        <v/>
      </c>
    </row>
    <row r="96">
      <c r="A96" s="2" t="n">
        <v>79</v>
      </c>
      <c r="B96" s="9" t="n">
        <v>78.101</v>
      </c>
      <c r="C96" s="10" t="n">
        <v>3.4015</v>
      </c>
      <c r="D96" s="10" t="n">
        <v>-1.5</v>
      </c>
      <c r="E96" s="9" t="n">
        <v>28.905</v>
      </c>
      <c r="F96" s="9" t="n">
        <v>98.34999999999999</v>
      </c>
      <c r="G96" s="2" t="inlineStr">
        <is>
          <t>*35</t>
        </is>
      </c>
      <c r="H96" s="10">
        <f>B96-B95</f>
        <v/>
      </c>
    </row>
    <row r="97">
      <c r="A97" s="2" t="n">
        <v>80</v>
      </c>
      <c r="B97" s="9" t="n">
        <v>79.101</v>
      </c>
      <c r="C97" s="10" t="n">
        <v>3.3919</v>
      </c>
      <c r="D97" s="10" t="n">
        <v>-1.5</v>
      </c>
      <c r="E97" s="9" t="n">
        <v>28.955</v>
      </c>
      <c r="F97" s="9" t="n">
        <v>98.33</v>
      </c>
      <c r="G97" s="2" t="inlineStr">
        <is>
          <t>*35</t>
        </is>
      </c>
      <c r="H97" s="10">
        <f>B97-B96</f>
        <v/>
      </c>
    </row>
    <row r="98">
      <c r="A98" s="2" t="n">
        <v>81</v>
      </c>
      <c r="B98" s="9" t="n">
        <v>80.101</v>
      </c>
      <c r="C98" s="10" t="n">
        <v>3.3824</v>
      </c>
      <c r="D98" s="10" t="n">
        <v>-1.5</v>
      </c>
      <c r="E98" s="9" t="n">
        <v>29.005</v>
      </c>
      <c r="F98" s="9" t="n">
        <v>98.31</v>
      </c>
      <c r="G98" s="2" t="inlineStr">
        <is>
          <t>*33</t>
        </is>
      </c>
      <c r="H98" s="10">
        <f>B98-B97</f>
        <v/>
      </c>
    </row>
    <row r="99">
      <c r="A99" s="2" t="n">
        <v>82</v>
      </c>
      <c r="B99" s="9" t="n">
        <v>81.101</v>
      </c>
      <c r="C99" s="10" t="n">
        <v>3.3728</v>
      </c>
      <c r="D99" s="10" t="n">
        <v>-1.5</v>
      </c>
      <c r="E99" s="9" t="n">
        <v>29.055</v>
      </c>
      <c r="F99" s="9" t="n">
        <v>98.29000000000001</v>
      </c>
      <c r="G99" s="2" t="inlineStr">
        <is>
          <t>*3D</t>
        </is>
      </c>
      <c r="H99" s="10">
        <f>B99-B98</f>
        <v/>
      </c>
    </row>
    <row r="100">
      <c r="A100" s="2" t="n">
        <v>83</v>
      </c>
      <c r="B100" s="9" t="n">
        <v>82.101</v>
      </c>
      <c r="C100" s="10" t="n">
        <v>3.3632</v>
      </c>
      <c r="D100" s="10" t="n">
        <v>-1.5</v>
      </c>
      <c r="E100" s="9" t="n">
        <v>29.105</v>
      </c>
      <c r="F100" s="9" t="n">
        <v>98.27</v>
      </c>
      <c r="G100" s="2" t="inlineStr">
        <is>
          <t>*3E</t>
        </is>
      </c>
      <c r="H100" s="10">
        <f>B100-B99</f>
        <v/>
      </c>
    </row>
    <row r="101">
      <c r="A101" s="2" t="n">
        <v>84</v>
      </c>
      <c r="B101" s="9" t="n">
        <v>83.101</v>
      </c>
      <c r="C101" s="10" t="n">
        <v>3.3536</v>
      </c>
      <c r="D101" s="10" t="n">
        <v>-1.5</v>
      </c>
      <c r="E101" s="9" t="n">
        <v>29.155</v>
      </c>
      <c r="F101" s="9" t="n">
        <v>98.25</v>
      </c>
      <c r="G101" s="2" t="inlineStr">
        <is>
          <t>*3F</t>
        </is>
      </c>
      <c r="H101" s="10">
        <f>B101-B100</f>
        <v/>
      </c>
    </row>
    <row r="102">
      <c r="A102" s="2" t="n">
        <v>85</v>
      </c>
      <c r="B102" s="9" t="n">
        <v>84.101</v>
      </c>
      <c r="C102" s="10" t="n">
        <v>3.344</v>
      </c>
      <c r="D102" s="10" t="n">
        <v>-1.5</v>
      </c>
      <c r="E102" s="9" t="n">
        <v>29.205</v>
      </c>
      <c r="F102" s="9" t="n">
        <v>98.23</v>
      </c>
      <c r="G102" s="2" t="inlineStr">
        <is>
          <t>*38</t>
        </is>
      </c>
      <c r="H102" s="10">
        <f>B102-B101</f>
        <v/>
      </c>
    </row>
    <row r="103">
      <c r="A103" s="2" t="n">
        <v>86</v>
      </c>
      <c r="B103" s="9" t="n">
        <v>85.101</v>
      </c>
      <c r="C103" s="10" t="n">
        <v>3.3344</v>
      </c>
      <c r="D103" s="10" t="n">
        <v>-1.5</v>
      </c>
      <c r="E103" s="9" t="n">
        <v>29.255</v>
      </c>
      <c r="F103" s="9" t="n">
        <v>98.20999999999999</v>
      </c>
      <c r="G103" s="2" t="inlineStr">
        <is>
          <t>*3D</t>
        </is>
      </c>
      <c r="H103" s="10">
        <f>B103-B102</f>
        <v/>
      </c>
    </row>
    <row r="104">
      <c r="A104" s="2" t="n">
        <v>87</v>
      </c>
      <c r="B104" s="9" t="n">
        <v>86.101</v>
      </c>
      <c r="C104" s="10" t="n">
        <v>3.3249</v>
      </c>
      <c r="D104" s="10" t="n">
        <v>-1.5</v>
      </c>
      <c r="E104" s="9" t="n">
        <v>29.305</v>
      </c>
      <c r="F104" s="9" t="n">
        <v>98.19</v>
      </c>
      <c r="G104" s="2" t="inlineStr">
        <is>
          <t>*3D</t>
        </is>
      </c>
      <c r="H104" s="10">
        <f>B104-B103</f>
        <v/>
      </c>
    </row>
    <row r="105">
      <c r="A105" s="2" t="n">
        <v>88</v>
      </c>
      <c r="B105" s="9" t="n">
        <v>87.101</v>
      </c>
      <c r="C105" s="10" t="n">
        <v>3.3153</v>
      </c>
      <c r="D105" s="10" t="n">
        <v>-1.5</v>
      </c>
      <c r="E105" s="9" t="n">
        <v>29.355</v>
      </c>
      <c r="F105" s="9" t="n">
        <v>98.17</v>
      </c>
      <c r="G105" s="2" t="inlineStr">
        <is>
          <t>*3F</t>
        </is>
      </c>
      <c r="H105" s="10">
        <f>B105-B104</f>
        <v/>
      </c>
    </row>
    <row r="106">
      <c r="A106" s="2" t="n">
        <v>89</v>
      </c>
      <c r="B106" s="9" t="n">
        <v>88.101</v>
      </c>
      <c r="C106" s="10" t="n">
        <v>3.3057</v>
      </c>
      <c r="D106" s="10" t="n">
        <v>-1.5</v>
      </c>
      <c r="E106" s="9" t="n">
        <v>29.405</v>
      </c>
      <c r="F106" s="9" t="n">
        <v>98.15000000000001</v>
      </c>
      <c r="G106" s="2" t="inlineStr">
        <is>
          <t>*35</t>
        </is>
      </c>
      <c r="H106" s="10">
        <f>B106-B105</f>
        <v/>
      </c>
    </row>
    <row r="107">
      <c r="A107" s="2" t="n">
        <v>90</v>
      </c>
      <c r="B107" s="9" t="n">
        <v>89.101</v>
      </c>
      <c r="C107" s="10" t="n">
        <v>3.2961</v>
      </c>
      <c r="D107" s="10" t="n">
        <v>-1.5</v>
      </c>
      <c r="E107" s="9" t="n">
        <v>29.455</v>
      </c>
      <c r="F107" s="9" t="n">
        <v>98.13</v>
      </c>
      <c r="G107" s="2" t="inlineStr">
        <is>
          <t>*3A</t>
        </is>
      </c>
      <c r="H107" s="10">
        <f>B107-B106</f>
        <v/>
      </c>
    </row>
    <row r="108">
      <c r="A108" s="2" t="n">
        <v>91</v>
      </c>
      <c r="B108" s="9" t="n">
        <v>90.101</v>
      </c>
      <c r="C108" s="10" t="n">
        <v>3.2865</v>
      </c>
      <c r="D108" s="10" t="n">
        <v>-1.5</v>
      </c>
      <c r="E108" s="9" t="n">
        <v>29.505</v>
      </c>
      <c r="F108" s="9" t="n">
        <v>98.09999999999999</v>
      </c>
      <c r="G108" s="2" t="inlineStr">
        <is>
          <t>*30</t>
        </is>
      </c>
      <c r="H108" s="10">
        <f>B108-B107</f>
        <v/>
      </c>
    </row>
    <row r="109">
      <c r="A109" s="2" t="n">
        <v>92</v>
      </c>
      <c r="B109" s="9" t="n">
        <v>91.101</v>
      </c>
      <c r="C109" s="10" t="n">
        <v>3.2769</v>
      </c>
      <c r="D109" s="10" t="n">
        <v>-1.5</v>
      </c>
      <c r="E109" s="9" t="n">
        <v>29.555</v>
      </c>
      <c r="F109" s="9" t="n">
        <v>98.08</v>
      </c>
      <c r="G109" s="2" t="inlineStr">
        <is>
          <t>*3E</t>
        </is>
      </c>
      <c r="H109" s="10">
        <f>B109-B108</f>
        <v/>
      </c>
    </row>
    <row r="110">
      <c r="A110" s="2" t="n">
        <v>93</v>
      </c>
      <c r="B110" s="9" t="n">
        <v>92.101</v>
      </c>
      <c r="C110" s="10" t="n">
        <v>3.2674</v>
      </c>
      <c r="D110" s="10" t="n">
        <v>-1.5</v>
      </c>
      <c r="E110" s="9" t="n">
        <v>29.605</v>
      </c>
      <c r="F110" s="9" t="n">
        <v>98.06</v>
      </c>
      <c r="G110" s="2" t="inlineStr">
        <is>
          <t>*38</t>
        </is>
      </c>
      <c r="H110" s="10">
        <f>B110-B109</f>
        <v/>
      </c>
    </row>
    <row r="111">
      <c r="A111" s="2" t="n">
        <v>94</v>
      </c>
      <c r="B111" s="9" t="n">
        <v>93.101</v>
      </c>
      <c r="C111" s="10" t="n">
        <v>3.2578</v>
      </c>
      <c r="D111" s="10" t="n">
        <v>-1.5</v>
      </c>
      <c r="E111" s="9" t="n">
        <v>29.655</v>
      </c>
      <c r="F111" s="9" t="n">
        <v>98.04000000000001</v>
      </c>
      <c r="G111" s="2" t="inlineStr">
        <is>
          <t>*31</t>
        </is>
      </c>
      <c r="H111" s="10">
        <f>B111-B110</f>
        <v/>
      </c>
    </row>
    <row r="112">
      <c r="A112" s="2" t="n">
        <v>95</v>
      </c>
      <c r="B112" s="9" t="n">
        <v>94.101</v>
      </c>
      <c r="C112" s="10" t="n">
        <v>3.2482</v>
      </c>
      <c r="D112" s="10" t="n">
        <v>-1.5</v>
      </c>
      <c r="E112" s="9" t="n">
        <v>29.705</v>
      </c>
      <c r="F112" s="9" t="n">
        <v>98.02</v>
      </c>
      <c r="G112" s="2" t="inlineStr">
        <is>
          <t>*30</t>
        </is>
      </c>
      <c r="H112" s="10">
        <f>B112-B111</f>
        <v/>
      </c>
    </row>
    <row r="113">
      <c r="A113" s="2" t="n">
        <v>96</v>
      </c>
      <c r="B113" s="9" t="n">
        <v>95.101</v>
      </c>
      <c r="C113" s="10" t="n">
        <v>3.2386</v>
      </c>
      <c r="D113" s="10" t="n">
        <v>-1.5</v>
      </c>
      <c r="E113" s="9" t="n">
        <v>29.755</v>
      </c>
      <c r="F113" s="9" t="n">
        <v>98</v>
      </c>
      <c r="G113" s="2" t="inlineStr">
        <is>
          <t>*35</t>
        </is>
      </c>
      <c r="H113" s="10">
        <f>B113-B112</f>
        <v/>
      </c>
    </row>
    <row r="114">
      <c r="A114" s="2" t="n">
        <v>97</v>
      </c>
      <c r="B114" s="9" t="n">
        <v>96.101</v>
      </c>
      <c r="C114" s="10" t="n">
        <v>3.229</v>
      </c>
      <c r="D114" s="10" t="n">
        <v>-1.5</v>
      </c>
      <c r="E114" s="9" t="n">
        <v>29.805</v>
      </c>
      <c r="F114" s="9" t="n">
        <v>97.98</v>
      </c>
      <c r="G114" s="2" t="inlineStr">
        <is>
          <t>*34</t>
        </is>
      </c>
      <c r="H114" s="10">
        <f>B114-B113</f>
        <v/>
      </c>
    </row>
    <row r="115">
      <c r="A115" s="2" t="n">
        <v>98</v>
      </c>
      <c r="B115" s="9" t="n">
        <v>97.101</v>
      </c>
      <c r="C115" s="10" t="n">
        <v>3.2194</v>
      </c>
      <c r="D115" s="10" t="n">
        <v>-1.5</v>
      </c>
      <c r="E115" s="9" t="n">
        <v>29.855</v>
      </c>
      <c r="F115" s="9" t="n">
        <v>97.95999999999999</v>
      </c>
      <c r="G115" s="2" t="inlineStr">
        <is>
          <t>*39</t>
        </is>
      </c>
      <c r="H115" s="10">
        <f>B115-B114</f>
        <v/>
      </c>
    </row>
    <row r="116">
      <c r="A116" s="2" t="n">
        <v>99</v>
      </c>
      <c r="B116" s="9" t="n">
        <v>98.101</v>
      </c>
      <c r="C116" s="10" t="n">
        <v>3.2099</v>
      </c>
      <c r="D116" s="10" t="n">
        <v>-1.5</v>
      </c>
      <c r="E116" s="9" t="n">
        <v>29.905</v>
      </c>
      <c r="F116" s="9" t="n">
        <v>97.94</v>
      </c>
      <c r="G116" s="2" t="inlineStr">
        <is>
          <t>*3C</t>
        </is>
      </c>
      <c r="H116" s="10">
        <f>B116-B115</f>
        <v/>
      </c>
    </row>
    <row r="117">
      <c r="A117" s="2" t="n">
        <v>100</v>
      </c>
      <c r="B117" s="9" t="n">
        <v>99.101</v>
      </c>
      <c r="C117" s="10" t="n">
        <v>3.2003</v>
      </c>
      <c r="D117" s="10" t="n">
        <v>-1.5</v>
      </c>
      <c r="E117" s="9" t="n">
        <v>29.955</v>
      </c>
      <c r="F117" s="9" t="n">
        <v>97.92</v>
      </c>
      <c r="G117" s="2" t="inlineStr">
        <is>
          <t>*3D</t>
        </is>
      </c>
      <c r="H117" s="10">
        <f>B117-B116</f>
        <v/>
      </c>
    </row>
    <row r="118">
      <c r="A118" s="2" t="n">
        <v>101</v>
      </c>
      <c r="B118" s="9" t="n">
        <v>100.101</v>
      </c>
      <c r="C118" s="10" t="n">
        <v>3.1907</v>
      </c>
      <c r="D118" s="10" t="n">
        <v>-1.5</v>
      </c>
      <c r="E118" s="9" t="n">
        <v>30.005</v>
      </c>
      <c r="F118" s="9" t="n">
        <v>97.90000000000001</v>
      </c>
      <c r="G118" s="2" t="inlineStr">
        <is>
          <t>*04</t>
        </is>
      </c>
      <c r="H118" s="10">
        <f>B118-B117</f>
        <v/>
      </c>
    </row>
    <row r="119">
      <c r="A119" s="2" t="n">
        <v>102</v>
      </c>
      <c r="B119" s="9" t="n">
        <v>101.101</v>
      </c>
      <c r="C119" s="10" t="n">
        <v>3.1811</v>
      </c>
      <c r="D119" s="10" t="n">
        <v>-1.5</v>
      </c>
      <c r="E119" s="9" t="n">
        <v>30.055</v>
      </c>
      <c r="F119" s="9" t="n">
        <v>97.88</v>
      </c>
      <c r="G119" s="2" t="inlineStr">
        <is>
          <t>*0F</t>
        </is>
      </c>
      <c r="H119" s="10">
        <f>B119-B118</f>
        <v/>
      </c>
    </row>
    <row r="120">
      <c r="A120" s="2" t="n">
        <v>103</v>
      </c>
      <c r="B120" s="9" t="n">
        <v>102.101</v>
      </c>
      <c r="C120" s="10" t="n">
        <v>3.1715</v>
      </c>
      <c r="D120" s="10" t="n">
        <v>-1.5</v>
      </c>
      <c r="E120" s="9" t="n">
        <v>30.105</v>
      </c>
      <c r="F120" s="9" t="n">
        <v>97.84999999999999</v>
      </c>
      <c r="G120" s="2" t="inlineStr">
        <is>
          <t>*0E</t>
        </is>
      </c>
      <c r="H120" s="10">
        <f>B120-B119</f>
        <v/>
      </c>
    </row>
    <row r="121">
      <c r="A121" s="2" t="n">
        <v>104</v>
      </c>
      <c r="B121" s="9" t="n">
        <v>103.101</v>
      </c>
      <c r="C121" s="10" t="n">
        <v>3.1619</v>
      </c>
      <c r="D121" s="10" t="n">
        <v>-1.5</v>
      </c>
      <c r="E121" s="9" t="n">
        <v>30.155</v>
      </c>
      <c r="F121" s="9" t="n">
        <v>97.83</v>
      </c>
      <c r="G121" s="2" t="inlineStr">
        <is>
          <t>*01</t>
        </is>
      </c>
      <c r="H121" s="10">
        <f>B121-B120</f>
        <v/>
      </c>
    </row>
    <row r="122">
      <c r="A122" s="2" t="n">
        <v>105</v>
      </c>
      <c r="B122" s="9" t="n">
        <v>104.101</v>
      </c>
      <c r="C122" s="10" t="n">
        <v>3.1524</v>
      </c>
      <c r="D122" s="10" t="n">
        <v>-1.5</v>
      </c>
      <c r="E122" s="9" t="n">
        <v>30.205</v>
      </c>
      <c r="F122" s="9" t="n">
        <v>97.81</v>
      </c>
      <c r="G122" s="2" t="inlineStr">
        <is>
          <t>*0F</t>
        </is>
      </c>
      <c r="H122" s="10">
        <f>B122-B121</f>
        <v/>
      </c>
    </row>
    <row r="123">
      <c r="A123" s="2" t="n">
        <v>106</v>
      </c>
      <c r="B123" s="9" t="n">
        <v>105.101</v>
      </c>
      <c r="C123" s="10" t="n">
        <v>3.1428</v>
      </c>
      <c r="D123" s="10" t="n">
        <v>-1.5</v>
      </c>
      <c r="E123" s="9" t="n">
        <v>30.255</v>
      </c>
      <c r="F123" s="9" t="n">
        <v>97.79000000000001</v>
      </c>
      <c r="G123" s="2" t="inlineStr">
        <is>
          <t>*01</t>
        </is>
      </c>
      <c r="H123" s="10">
        <f>B123-B122</f>
        <v/>
      </c>
    </row>
    <row r="124">
      <c r="A124" s="2" t="n">
        <v>107</v>
      </c>
      <c r="B124" s="9" t="n">
        <v>106.101</v>
      </c>
      <c r="C124" s="10" t="n">
        <v>3.1332</v>
      </c>
      <c r="D124" s="10" t="n">
        <v>-1.5</v>
      </c>
      <c r="E124" s="9" t="n">
        <v>30.305</v>
      </c>
      <c r="F124" s="9" t="n">
        <v>97.77</v>
      </c>
      <c r="G124" s="2" t="inlineStr">
        <is>
          <t>*04</t>
        </is>
      </c>
      <c r="H124" s="10">
        <f>B124-B123</f>
        <v/>
      </c>
    </row>
    <row r="125">
      <c r="A125" s="2" t="n">
        <v>108</v>
      </c>
      <c r="B125" s="9" t="n">
        <v>107.101</v>
      </c>
      <c r="C125" s="10" t="n">
        <v>3.1236</v>
      </c>
      <c r="D125" s="10" t="n">
        <v>-1.5</v>
      </c>
      <c r="E125" s="9" t="n">
        <v>30.355</v>
      </c>
      <c r="F125" s="9" t="n">
        <v>97.75</v>
      </c>
      <c r="G125" s="2" t="inlineStr">
        <is>
          <t>*07</t>
        </is>
      </c>
      <c r="H125" s="10">
        <f>B125-B124</f>
        <v/>
      </c>
    </row>
    <row r="126">
      <c r="A126" s="2" t="n">
        <v>109</v>
      </c>
      <c r="B126" s="9" t="n">
        <v>108.101</v>
      </c>
      <c r="C126" s="10" t="n">
        <v>3.114</v>
      </c>
      <c r="D126" s="10" t="n">
        <v>-1.5</v>
      </c>
      <c r="E126" s="9" t="n">
        <v>30.405</v>
      </c>
      <c r="F126" s="9" t="n">
        <v>97.73</v>
      </c>
      <c r="G126" s="2" t="inlineStr">
        <is>
          <t>*0E</t>
        </is>
      </c>
      <c r="H126" s="10">
        <f>B126-B125</f>
        <v/>
      </c>
    </row>
    <row r="127">
      <c r="A127" s="2" t="n">
        <v>110</v>
      </c>
      <c r="B127" s="9" t="n">
        <v>109.101</v>
      </c>
      <c r="C127" s="10" t="n">
        <v>3.1044</v>
      </c>
      <c r="D127" s="10" t="n">
        <v>-1.5</v>
      </c>
      <c r="E127" s="9" t="n">
        <v>30.455</v>
      </c>
      <c r="F127" s="9" t="n">
        <v>97.70999999999999</v>
      </c>
      <c r="G127" s="2" t="inlineStr">
        <is>
          <t>*0D</t>
        </is>
      </c>
      <c r="H127" s="10">
        <f>B127-B126</f>
        <v/>
      </c>
    </row>
    <row r="128">
      <c r="A128" s="2" t="n">
        <v>111</v>
      </c>
      <c r="B128" s="9" t="n">
        <v>110.101</v>
      </c>
      <c r="C128" s="10" t="n">
        <v>3.0949</v>
      </c>
      <c r="D128" s="10" t="n">
        <v>-1.5</v>
      </c>
      <c r="E128" s="9" t="n">
        <v>30.505</v>
      </c>
      <c r="F128" s="9" t="n">
        <v>97.69</v>
      </c>
      <c r="G128" s="2" t="inlineStr">
        <is>
          <t>*0D</t>
        </is>
      </c>
      <c r="H128" s="10">
        <f>B128-B127</f>
        <v/>
      </c>
    </row>
    <row r="129">
      <c r="A129" s="2" t="n">
        <v>112</v>
      </c>
      <c r="B129" s="9" t="n">
        <v>111.101</v>
      </c>
      <c r="C129" s="10" t="n">
        <v>3.0853</v>
      </c>
      <c r="D129" s="10" t="n">
        <v>-1.5</v>
      </c>
      <c r="E129" s="9" t="n">
        <v>30.555</v>
      </c>
      <c r="F129" s="9" t="n">
        <v>97.67</v>
      </c>
      <c r="G129" s="2" t="inlineStr">
        <is>
          <t>*0D</t>
        </is>
      </c>
      <c r="H129" s="10">
        <f>B129-B128</f>
        <v/>
      </c>
    </row>
    <row r="130">
      <c r="A130" s="2" t="n">
        <v>113</v>
      </c>
      <c r="B130" s="9" t="n">
        <v>112.101</v>
      </c>
      <c r="C130" s="10" t="n">
        <v>3.0757</v>
      </c>
      <c r="D130" s="10" t="n">
        <v>-1.5</v>
      </c>
      <c r="E130" s="9" t="n">
        <v>30.605</v>
      </c>
      <c r="F130" s="9" t="n">
        <v>97.65000000000001</v>
      </c>
      <c r="G130" s="2" t="inlineStr">
        <is>
          <t>*01</t>
        </is>
      </c>
      <c r="H130" s="10">
        <f>B130-B129</f>
        <v/>
      </c>
    </row>
    <row r="131">
      <c r="A131" s="2" t="n">
        <v>114</v>
      </c>
      <c r="B131" s="9" t="n">
        <v>113.101</v>
      </c>
      <c r="C131" s="10" t="n">
        <v>3.0661</v>
      </c>
      <c r="D131" s="10" t="n">
        <v>-1.5</v>
      </c>
      <c r="E131" s="9" t="n">
        <v>30.655</v>
      </c>
      <c r="F131" s="9" t="n">
        <v>97.63</v>
      </c>
      <c r="G131" s="2" t="inlineStr">
        <is>
          <t>*07</t>
        </is>
      </c>
      <c r="H131" s="10">
        <f>B131-B130</f>
        <v/>
      </c>
    </row>
    <row r="132">
      <c r="A132" s="2" t="n">
        <v>115</v>
      </c>
      <c r="B132" s="9" t="n">
        <v>114.101</v>
      </c>
      <c r="C132" s="10" t="n">
        <v>3.0565</v>
      </c>
      <c r="D132" s="10" t="n">
        <v>-1.5</v>
      </c>
      <c r="E132" s="9" t="n">
        <v>30.705</v>
      </c>
      <c r="F132" s="9" t="n">
        <v>97.59999999999999</v>
      </c>
      <c r="G132" s="2" t="inlineStr">
        <is>
          <t>*00</t>
        </is>
      </c>
      <c r="H132" s="10">
        <f>B132-B131</f>
        <v/>
      </c>
    </row>
    <row r="133">
      <c r="A133" s="2" t="n">
        <v>116</v>
      </c>
      <c r="B133" s="9" t="n">
        <v>115.101</v>
      </c>
      <c r="C133" s="10" t="n">
        <v>3.0469</v>
      </c>
      <c r="D133" s="10" t="n">
        <v>-1.5</v>
      </c>
      <c r="E133" s="9" t="n">
        <v>30.755</v>
      </c>
      <c r="F133" s="9" t="n">
        <v>97.58</v>
      </c>
      <c r="G133" s="2" t="inlineStr">
        <is>
          <t>*02</t>
        </is>
      </c>
      <c r="H133" s="10">
        <f>B133-B132</f>
        <v/>
      </c>
    </row>
    <row r="134">
      <c r="A134" s="2" t="n">
        <v>117</v>
      </c>
      <c r="B134" s="9" t="n">
        <v>116.101</v>
      </c>
      <c r="C134" s="10" t="n">
        <v>3.0374</v>
      </c>
      <c r="D134" s="10" t="n">
        <v>-1.5</v>
      </c>
      <c r="E134" s="9" t="n">
        <v>30.805</v>
      </c>
      <c r="F134" s="9" t="n">
        <v>97.56</v>
      </c>
      <c r="G134" s="2" t="inlineStr">
        <is>
          <t>*0E</t>
        </is>
      </c>
      <c r="H134" s="10">
        <f>B134-B133</f>
        <v/>
      </c>
    </row>
    <row r="135">
      <c r="A135" s="2" t="n">
        <v>118</v>
      </c>
      <c r="B135" s="9" t="n">
        <v>117.101</v>
      </c>
      <c r="C135" s="10" t="n">
        <v>3.0278</v>
      </c>
      <c r="D135" s="10" t="n">
        <v>-1.5</v>
      </c>
      <c r="E135" s="9" t="n">
        <v>30.855</v>
      </c>
      <c r="F135" s="9" t="n">
        <v>97.54000000000001</v>
      </c>
      <c r="G135" s="2" t="inlineStr">
        <is>
          <t>*05</t>
        </is>
      </c>
      <c r="H135" s="10">
        <f>B135-B134</f>
        <v/>
      </c>
    </row>
    <row r="136">
      <c r="A136" s="2" t="n">
        <v>119</v>
      </c>
      <c r="B136" s="9" t="n">
        <v>118.101</v>
      </c>
      <c r="C136" s="10" t="n">
        <v>3.0182</v>
      </c>
      <c r="D136" s="10" t="n">
        <v>-1.5</v>
      </c>
      <c r="E136" s="9" t="n">
        <v>30.905</v>
      </c>
      <c r="F136" s="9" t="n">
        <v>97.52</v>
      </c>
      <c r="G136" s="2" t="inlineStr">
        <is>
          <t>*0E</t>
        </is>
      </c>
      <c r="H136" s="10">
        <f>B136-B135</f>
        <v/>
      </c>
    </row>
    <row r="137">
      <c r="A137" s="2" t="n">
        <v>120</v>
      </c>
      <c r="B137" s="9" t="n">
        <v>119.101</v>
      </c>
      <c r="C137" s="10" t="n">
        <v>3.0086</v>
      </c>
      <c r="D137" s="10" t="n">
        <v>-1.5</v>
      </c>
      <c r="E137" s="9" t="n">
        <v>30.955</v>
      </c>
      <c r="F137" s="9" t="n">
        <v>97.5</v>
      </c>
      <c r="G137" s="2" t="inlineStr">
        <is>
          <t>*0D</t>
        </is>
      </c>
      <c r="H137" s="10">
        <f>B137-B136</f>
        <v/>
      </c>
    </row>
    <row r="138">
      <c r="A138" s="2" t="n">
        <v>121</v>
      </c>
      <c r="B138" s="9" t="n">
        <v>120.101</v>
      </c>
      <c r="C138" s="10" t="n">
        <v>3</v>
      </c>
      <c r="D138" s="10" t="n">
        <v>0.75</v>
      </c>
      <c r="E138" s="9" t="n">
        <v>25</v>
      </c>
      <c r="F138" s="9" t="n">
        <v>97.51000000000001</v>
      </c>
      <c r="G138" s="2" t="inlineStr">
        <is>
          <t>*2E</t>
        </is>
      </c>
      <c r="H138" s="10">
        <f>B138-B137</f>
        <v/>
      </c>
    </row>
    <row r="139">
      <c r="A139" s="2" t="n">
        <v>122</v>
      </c>
      <c r="B139" s="9" t="n">
        <v>121.101</v>
      </c>
      <c r="C139" s="10" t="n">
        <v>3.0096</v>
      </c>
      <c r="D139" s="10" t="n">
        <v>0.75</v>
      </c>
      <c r="E139" s="9" t="n">
        <v>25.025</v>
      </c>
      <c r="F139" s="9" t="n">
        <v>97.52</v>
      </c>
      <c r="G139" s="2" t="inlineStr">
        <is>
          <t>*24</t>
        </is>
      </c>
      <c r="H139" s="10">
        <f>B139-B138</f>
        <v/>
      </c>
    </row>
    <row r="140">
      <c r="A140" s="2" t="n">
        <v>123</v>
      </c>
      <c r="B140" s="9" t="n">
        <v>122.101</v>
      </c>
      <c r="C140" s="10" t="n">
        <v>3.0192</v>
      </c>
      <c r="D140" s="10" t="n">
        <v>0.75</v>
      </c>
      <c r="E140" s="9" t="n">
        <v>25.05</v>
      </c>
      <c r="F140" s="9" t="n">
        <v>97.53</v>
      </c>
      <c r="G140" s="2" t="inlineStr">
        <is>
          <t>*21</t>
        </is>
      </c>
      <c r="H140" s="10">
        <f>B140-B139</f>
        <v/>
      </c>
    </row>
    <row r="141">
      <c r="A141" s="2" t="n">
        <v>124</v>
      </c>
      <c r="B141" s="9" t="n">
        <v>123.101</v>
      </c>
      <c r="C141" s="10" t="n">
        <v>3.0287</v>
      </c>
      <c r="D141" s="10" t="n">
        <v>0.75</v>
      </c>
      <c r="E141" s="9" t="n">
        <v>25.075</v>
      </c>
      <c r="F141" s="9" t="n">
        <v>97.54000000000001</v>
      </c>
      <c r="G141" s="2" t="inlineStr">
        <is>
          <t>*27</t>
        </is>
      </c>
      <c r="H141" s="10">
        <f>B141-B140</f>
        <v/>
      </c>
    </row>
    <row r="142">
      <c r="A142" s="2" t="n">
        <v>125</v>
      </c>
      <c r="B142" s="9" t="n">
        <v>124.101</v>
      </c>
      <c r="C142" s="10" t="n">
        <v>3.0383</v>
      </c>
      <c r="D142" s="10" t="n">
        <v>0.75</v>
      </c>
      <c r="E142" s="9" t="n">
        <v>25.1</v>
      </c>
      <c r="F142" s="9" t="n">
        <v>97.55</v>
      </c>
      <c r="G142" s="2" t="inlineStr">
        <is>
          <t>*27</t>
        </is>
      </c>
      <c r="H142" s="10">
        <f>B142-B141</f>
        <v/>
      </c>
    </row>
    <row r="143">
      <c r="A143" s="2" t="n">
        <v>126</v>
      </c>
      <c r="B143" s="9" t="n">
        <v>125.101</v>
      </c>
      <c r="C143" s="10" t="n">
        <v>3.0479</v>
      </c>
      <c r="D143" s="10" t="n">
        <v>0.75</v>
      </c>
      <c r="E143" s="9" t="n">
        <v>25.125</v>
      </c>
      <c r="F143" s="9" t="n">
        <v>97.56</v>
      </c>
      <c r="G143" s="2" t="inlineStr">
        <is>
          <t>*20</t>
        </is>
      </c>
      <c r="H143" s="10">
        <f>B143-B142</f>
        <v/>
      </c>
    </row>
    <row r="144">
      <c r="A144" s="2" t="n">
        <v>127</v>
      </c>
      <c r="B144" s="9" t="n">
        <v>126.101</v>
      </c>
      <c r="C144" s="10" t="n">
        <v>3.0575</v>
      </c>
      <c r="D144" s="10" t="n">
        <v>0.75</v>
      </c>
      <c r="E144" s="9" t="n">
        <v>25.15</v>
      </c>
      <c r="F144" s="9" t="n">
        <v>97.56999999999999</v>
      </c>
      <c r="G144" s="2" t="inlineStr">
        <is>
          <t>*2D</t>
        </is>
      </c>
      <c r="H144" s="10">
        <f>B144-B143</f>
        <v/>
      </c>
    </row>
    <row r="145">
      <c r="A145" s="2" t="n">
        <v>128</v>
      </c>
      <c r="B145" s="9" t="n">
        <v>127.101</v>
      </c>
      <c r="C145" s="10" t="n">
        <v>3.0671</v>
      </c>
      <c r="D145" s="10" t="n">
        <v>0.75</v>
      </c>
      <c r="E145" s="9" t="n">
        <v>25.175</v>
      </c>
      <c r="F145" s="9" t="n">
        <v>97.58</v>
      </c>
      <c r="G145" s="2" t="inlineStr">
        <is>
          <t>*23</t>
        </is>
      </c>
      <c r="H145" s="10">
        <f>B145-B144</f>
        <v/>
      </c>
    </row>
    <row r="146">
      <c r="A146" s="2" t="n">
        <v>129</v>
      </c>
      <c r="B146" s="9" t="n">
        <v>128.101</v>
      </c>
      <c r="C146" s="10" t="n">
        <v>3.0767</v>
      </c>
      <c r="D146" s="10" t="n">
        <v>0.75</v>
      </c>
      <c r="E146" s="9" t="n">
        <v>25.2</v>
      </c>
      <c r="F146" s="9" t="n">
        <v>97.59</v>
      </c>
      <c r="G146" s="2" t="inlineStr">
        <is>
          <t>*2A</t>
        </is>
      </c>
      <c r="H146" s="10">
        <f>B146-B145</f>
        <v/>
      </c>
    </row>
    <row r="147">
      <c r="A147" s="2" t="n">
        <v>130</v>
      </c>
      <c r="B147" s="9" t="n">
        <v>129.101</v>
      </c>
      <c r="C147" s="10" t="n">
        <v>3.0863</v>
      </c>
      <c r="D147" s="10" t="n">
        <v>0.75</v>
      </c>
      <c r="E147" s="9" t="n">
        <v>25.225</v>
      </c>
      <c r="F147" s="9" t="n">
        <v>97.59999999999999</v>
      </c>
      <c r="G147" s="2" t="inlineStr">
        <is>
          <t>*2D</t>
        </is>
      </c>
      <c r="H147" s="10">
        <f>B147-B146</f>
        <v/>
      </c>
    </row>
    <row r="148">
      <c r="A148" s="2" t="n">
        <v>131</v>
      </c>
      <c r="B148" s="9" t="n">
        <v>130.101</v>
      </c>
      <c r="C148" s="10" t="n">
        <v>3.0958</v>
      </c>
      <c r="D148" s="10" t="n">
        <v>0.75</v>
      </c>
      <c r="E148" s="9" t="n">
        <v>25.25</v>
      </c>
      <c r="F148" s="9" t="n">
        <v>97.61</v>
      </c>
      <c r="G148" s="2" t="inlineStr">
        <is>
          <t>*2F</t>
        </is>
      </c>
      <c r="H148" s="10">
        <f>B148-B147</f>
        <v/>
      </c>
    </row>
    <row r="149">
      <c r="A149" s="2" t="n">
        <v>132</v>
      </c>
      <c r="B149" s="9" t="n">
        <v>131.101</v>
      </c>
      <c r="C149" s="10" t="n">
        <v>3.1054</v>
      </c>
      <c r="D149" s="10" t="n">
        <v>0.75</v>
      </c>
      <c r="E149" s="9" t="n">
        <v>25.275</v>
      </c>
      <c r="F149" s="9" t="n">
        <v>97.63</v>
      </c>
      <c r="G149" s="2" t="inlineStr">
        <is>
          <t>*2F</t>
        </is>
      </c>
      <c r="H149" s="10">
        <f>B149-B148</f>
        <v/>
      </c>
    </row>
    <row r="150">
      <c r="A150" s="2" t="n">
        <v>133</v>
      </c>
      <c r="B150" s="9" t="n">
        <v>132.101</v>
      </c>
      <c r="C150" s="10" t="n">
        <v>3.115</v>
      </c>
      <c r="D150" s="10" t="n">
        <v>0.75</v>
      </c>
      <c r="E150" s="9" t="n">
        <v>25.3</v>
      </c>
      <c r="F150" s="9" t="n">
        <v>97.64</v>
      </c>
      <c r="G150" s="2" t="inlineStr">
        <is>
          <t>*2D</t>
        </is>
      </c>
      <c r="H150" s="10">
        <f>B150-B149</f>
        <v/>
      </c>
    </row>
    <row r="151">
      <c r="A151" s="2" t="n">
        <v>134</v>
      </c>
      <c r="B151" s="9" t="n">
        <v>133.101</v>
      </c>
      <c r="C151" s="10" t="n">
        <v>3.1246</v>
      </c>
      <c r="D151" s="10" t="n">
        <v>0.75</v>
      </c>
      <c r="E151" s="9" t="n">
        <v>25.325</v>
      </c>
      <c r="F151" s="9" t="n">
        <v>97.65000000000001</v>
      </c>
      <c r="G151" s="2" t="inlineStr">
        <is>
          <t>*2E</t>
        </is>
      </c>
      <c r="H151" s="10">
        <f>B151-B150</f>
        <v/>
      </c>
    </row>
    <row r="152">
      <c r="A152" s="2" t="n">
        <v>135</v>
      </c>
      <c r="B152" s="9" t="n">
        <v>134.101</v>
      </c>
      <c r="C152" s="10" t="n">
        <v>3.1342</v>
      </c>
      <c r="D152" s="10" t="n">
        <v>0.75</v>
      </c>
      <c r="E152" s="9" t="n">
        <v>25.35</v>
      </c>
      <c r="F152" s="9" t="n">
        <v>97.66</v>
      </c>
      <c r="G152" s="2" t="inlineStr">
        <is>
          <t>*2D</t>
        </is>
      </c>
      <c r="H152" s="10">
        <f>B152-B151</f>
        <v/>
      </c>
    </row>
    <row r="153">
      <c r="A153" s="2" t="n">
        <v>136</v>
      </c>
      <c r="B153" s="9" t="n">
        <v>135.101</v>
      </c>
      <c r="C153" s="10" t="n">
        <v>3.1437</v>
      </c>
      <c r="D153" s="10" t="n">
        <v>0.75</v>
      </c>
      <c r="E153" s="9" t="n">
        <v>25.375</v>
      </c>
      <c r="F153" s="9" t="n">
        <v>97.67</v>
      </c>
      <c r="G153" s="2" t="inlineStr">
        <is>
          <t>*2F</t>
        </is>
      </c>
      <c r="H153" s="10">
        <f>B153-B152</f>
        <v/>
      </c>
    </row>
    <row r="154">
      <c r="A154" s="2" t="n">
        <v>137</v>
      </c>
      <c r="B154" s="9" t="n">
        <v>136.101</v>
      </c>
      <c r="C154" s="10" t="n">
        <v>3.1533</v>
      </c>
      <c r="D154" s="10" t="n">
        <v>0.75</v>
      </c>
      <c r="E154" s="9" t="n">
        <v>25.4</v>
      </c>
      <c r="F154" s="9" t="n">
        <v>97.68000000000001</v>
      </c>
      <c r="G154" s="2" t="inlineStr">
        <is>
          <t>*23</t>
        </is>
      </c>
      <c r="H154" s="10">
        <f>B154-B153</f>
        <v/>
      </c>
    </row>
    <row r="155">
      <c r="A155" s="2" t="n">
        <v>138</v>
      </c>
      <c r="B155" s="9" t="n">
        <v>137.101</v>
      </c>
      <c r="C155" s="10" t="n">
        <v>3.1629</v>
      </c>
      <c r="D155" s="10" t="n">
        <v>0.75</v>
      </c>
      <c r="E155" s="9" t="n">
        <v>25.425</v>
      </c>
      <c r="F155" s="9" t="n">
        <v>97.69</v>
      </c>
      <c r="G155" s="2" t="inlineStr">
        <is>
          <t>*2C</t>
        </is>
      </c>
      <c r="H155" s="10">
        <f>B155-B154</f>
        <v/>
      </c>
    </row>
    <row r="156">
      <c r="A156" s="2" t="n">
        <v>139</v>
      </c>
      <c r="B156" s="9" t="n">
        <v>138.101</v>
      </c>
      <c r="C156" s="10" t="n">
        <v>3.1725</v>
      </c>
      <c r="D156" s="10" t="n">
        <v>0.75</v>
      </c>
      <c r="E156" s="9" t="n">
        <v>25.45</v>
      </c>
      <c r="F156" s="9" t="n">
        <v>97.7</v>
      </c>
      <c r="G156" s="2" t="inlineStr">
        <is>
          <t>*24</t>
        </is>
      </c>
      <c r="H156" s="10">
        <f>B156-B155</f>
        <v/>
      </c>
    </row>
    <row r="157">
      <c r="A157" s="2" t="n">
        <v>140</v>
      </c>
      <c r="B157" s="9" t="n">
        <v>139.101</v>
      </c>
      <c r="C157" s="10" t="n">
        <v>3.1821</v>
      </c>
      <c r="D157" s="10" t="n">
        <v>0.75</v>
      </c>
      <c r="E157" s="9" t="n">
        <v>25.475</v>
      </c>
      <c r="F157" s="9" t="n">
        <v>97.70999999999999</v>
      </c>
      <c r="G157" s="2" t="inlineStr">
        <is>
          <t>*28</t>
        </is>
      </c>
      <c r="H157" s="10">
        <f>B157-B156</f>
        <v/>
      </c>
    </row>
    <row r="158">
      <c r="A158" s="2" t="n">
        <v>141</v>
      </c>
      <c r="B158" s="9" t="n">
        <v>140.101</v>
      </c>
      <c r="C158" s="10" t="n">
        <v>3.1917</v>
      </c>
      <c r="D158" s="10" t="n">
        <v>0.75</v>
      </c>
      <c r="E158" s="9" t="n">
        <v>25.5</v>
      </c>
      <c r="F158" s="9" t="n">
        <v>97.72</v>
      </c>
      <c r="G158" s="2" t="inlineStr">
        <is>
          <t>*22</t>
        </is>
      </c>
      <c r="H158" s="10">
        <f>B158-B157</f>
        <v/>
      </c>
    </row>
    <row r="159">
      <c r="A159" s="2" t="n">
        <v>142</v>
      </c>
      <c r="B159" s="9" t="n">
        <v>141.101</v>
      </c>
      <c r="C159" s="10" t="n">
        <v>3.2013</v>
      </c>
      <c r="D159" s="10" t="n">
        <v>0.75</v>
      </c>
      <c r="E159" s="9" t="n">
        <v>25.525</v>
      </c>
      <c r="F159" s="9" t="n">
        <v>97.73</v>
      </c>
      <c r="G159" s="2" t="inlineStr">
        <is>
          <t>*2B</t>
        </is>
      </c>
      <c r="H159" s="10">
        <f>B159-B158</f>
        <v/>
      </c>
    </row>
    <row r="160">
      <c r="A160" s="2" t="n">
        <v>143</v>
      </c>
      <c r="B160" s="9" t="n">
        <v>142.101</v>
      </c>
      <c r="C160" s="10" t="n">
        <v>3.2108</v>
      </c>
      <c r="D160" s="10" t="n">
        <v>0.75</v>
      </c>
      <c r="E160" s="9" t="n">
        <v>25.55</v>
      </c>
      <c r="F160" s="9" t="n">
        <v>97.73999999999999</v>
      </c>
      <c r="G160" s="2" t="inlineStr">
        <is>
          <t>*26</t>
        </is>
      </c>
      <c r="H160" s="10">
        <f>B160-B159</f>
        <v/>
      </c>
    </row>
    <row r="161">
      <c r="A161" s="2" t="n">
        <v>144</v>
      </c>
      <c r="B161" s="9" t="n">
        <v>143.101</v>
      </c>
      <c r="C161" s="10" t="n">
        <v>3.2204</v>
      </c>
      <c r="D161" s="10" t="n">
        <v>0.75</v>
      </c>
      <c r="E161" s="9" t="n">
        <v>25.575</v>
      </c>
      <c r="F161" s="9" t="n">
        <v>97.75</v>
      </c>
      <c r="G161" s="2" t="inlineStr">
        <is>
          <t>*2E</t>
        </is>
      </c>
      <c r="H161" s="10">
        <f>B161-B160</f>
        <v/>
      </c>
    </row>
    <row r="162">
      <c r="A162" s="2" t="n">
        <v>145</v>
      </c>
      <c r="B162" s="9" t="n">
        <v>144.101</v>
      </c>
      <c r="C162" s="10" t="n">
        <v>3.23</v>
      </c>
      <c r="D162" s="10" t="n">
        <v>0.75</v>
      </c>
      <c r="E162" s="9" t="n">
        <v>25.6</v>
      </c>
      <c r="F162" s="9" t="n">
        <v>97.76000000000001</v>
      </c>
      <c r="G162" s="2" t="inlineStr">
        <is>
          <t>*2E</t>
        </is>
      </c>
      <c r="H162" s="10">
        <f>B162-B161</f>
        <v/>
      </c>
    </row>
    <row r="163">
      <c r="A163" s="2" t="n">
        <v>146</v>
      </c>
      <c r="B163" s="9" t="n">
        <v>145.101</v>
      </c>
      <c r="C163" s="10" t="n">
        <v>3.2396</v>
      </c>
      <c r="D163" s="10" t="n">
        <v>0.75</v>
      </c>
      <c r="E163" s="9" t="n">
        <v>25.625</v>
      </c>
      <c r="F163" s="9" t="n">
        <v>97.77</v>
      </c>
      <c r="G163" s="2" t="inlineStr">
        <is>
          <t>*26</t>
        </is>
      </c>
      <c r="H163" s="10">
        <f>B163-B162</f>
        <v/>
      </c>
    </row>
    <row r="164">
      <c r="A164" s="2" t="n">
        <v>147</v>
      </c>
      <c r="B164" s="9" t="n">
        <v>146.101</v>
      </c>
      <c r="C164" s="10" t="n">
        <v>3.2492</v>
      </c>
      <c r="D164" s="10" t="n">
        <v>0.75</v>
      </c>
      <c r="E164" s="9" t="n">
        <v>25.65</v>
      </c>
      <c r="F164" s="9" t="n">
        <v>97.78</v>
      </c>
      <c r="G164" s="2" t="inlineStr">
        <is>
          <t>*2B</t>
        </is>
      </c>
      <c r="H164" s="10">
        <f>B164-B163</f>
        <v/>
      </c>
    </row>
    <row r="165">
      <c r="A165" s="2" t="n">
        <v>148</v>
      </c>
      <c r="B165" s="9" t="n">
        <v>147.101</v>
      </c>
      <c r="C165" s="10" t="n">
        <v>3.2587</v>
      </c>
      <c r="D165" s="10" t="n">
        <v>0.75</v>
      </c>
      <c r="E165" s="9" t="n">
        <v>25.675</v>
      </c>
      <c r="F165" s="9" t="n">
        <v>97.79000000000001</v>
      </c>
      <c r="G165" s="2" t="inlineStr">
        <is>
          <t>*29</t>
        </is>
      </c>
      <c r="H165" s="10">
        <f>B165-B164</f>
        <v/>
      </c>
    </row>
    <row r="166">
      <c r="A166" s="2" t="n">
        <v>149</v>
      </c>
      <c r="B166" s="9" t="n">
        <v>148.101</v>
      </c>
      <c r="C166" s="10" t="n">
        <v>3.2683</v>
      </c>
      <c r="D166" s="10" t="n">
        <v>0.75</v>
      </c>
      <c r="E166" s="9" t="n">
        <v>25.7</v>
      </c>
      <c r="F166" s="9" t="n">
        <v>97.8</v>
      </c>
      <c r="G166" s="2" t="inlineStr">
        <is>
          <t>*24</t>
        </is>
      </c>
      <c r="H166" s="10">
        <f>B166-B165</f>
        <v/>
      </c>
    </row>
    <row r="167">
      <c r="A167" s="2" t="n">
        <v>150</v>
      </c>
      <c r="B167" s="9" t="n">
        <v>149.101</v>
      </c>
      <c r="C167" s="10" t="n">
        <v>3.2779</v>
      </c>
      <c r="D167" s="10" t="n">
        <v>0.75</v>
      </c>
      <c r="E167" s="9" t="n">
        <v>25.725</v>
      </c>
      <c r="F167" s="9" t="n">
        <v>97.81</v>
      </c>
      <c r="G167" s="2" t="inlineStr">
        <is>
          <t>*27</t>
        </is>
      </c>
      <c r="H167" s="10">
        <f>B167-B166</f>
        <v/>
      </c>
    </row>
    <row r="168">
      <c r="A168" s="2" t="n">
        <v>151</v>
      </c>
      <c r="B168" s="9" t="n">
        <v>150.101</v>
      </c>
      <c r="C168" s="10" t="n">
        <v>3.2875</v>
      </c>
      <c r="D168" s="10" t="n">
        <v>0.75</v>
      </c>
      <c r="E168" s="9" t="n">
        <v>25.75</v>
      </c>
      <c r="F168" s="9" t="n">
        <v>97.81999999999999</v>
      </c>
      <c r="G168" s="2" t="inlineStr">
        <is>
          <t>*2D</t>
        </is>
      </c>
      <c r="H168" s="10">
        <f>B168-B167</f>
        <v/>
      </c>
    </row>
  </sheetData>
  <mergeCells count="2">
    <mergeCell ref="A15:E15"/>
    <mergeCell ref="A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7" customWidth="1" min="4" max="4"/>
    <col width="16" customWidth="1" min="5" max="5"/>
    <col width="13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Sampling interval and jitter</t>
        </is>
      </c>
    </row>
    <row r="2">
      <c r="A2" s="12" t="inlineStr">
        <is>
          <t>The rig samples on a fixed schedule set by SAMPLE_PERIOD_MS. These figures are computed from the elapsed-time field of each capture, not asserted.</t>
        </is>
      </c>
    </row>
    <row r="3"/>
    <row r="5">
      <c r="A5" s="13" t="inlineStr">
        <is>
          <t>Capture</t>
        </is>
      </c>
      <c r="B5" s="13" t="inlineStr">
        <is>
          <t>Records</t>
        </is>
      </c>
      <c r="C5" s="13" t="inlineStr">
        <is>
          <t>Duration (s)</t>
        </is>
      </c>
      <c r="D5" s="13" t="inlineStr">
        <is>
          <t>Nominal period (s)</t>
        </is>
      </c>
      <c r="E5" s="13" t="inlineStr">
        <is>
          <t>Mean interval (s)</t>
        </is>
      </c>
      <c r="F5" s="13" t="inlineStr">
        <is>
          <t>Std dev (s)</t>
        </is>
      </c>
      <c r="G5" s="13" t="inlineStr">
        <is>
          <t>Min (s)</t>
        </is>
      </c>
      <c r="H5" s="13" t="inlineStr">
        <is>
          <t>Max (s)</t>
        </is>
      </c>
      <c r="I5" s="13" t="inlineStr">
        <is>
          <t>Dropped</t>
        </is>
      </c>
    </row>
    <row r="6">
      <c r="A6" s="2" t="inlineStr">
        <is>
          <t>Stage B - V and I</t>
        </is>
      </c>
      <c r="B6" s="2">
        <f>COUNT('Stage B - V and I'!B21:B103)</f>
        <v/>
      </c>
      <c r="C6" s="10">
        <f>'Stage B - V and I'!B103-'Stage B - V and I'!B21</f>
        <v/>
      </c>
      <c r="D6" s="10" t="n">
        <v>1</v>
      </c>
      <c r="E6" s="10">
        <f>AVERAGE('Stage B - V and I'!G22:G103)</f>
        <v/>
      </c>
      <c r="F6" s="10">
        <f>STDEV('Stage B - V and I'!G22:G103)</f>
        <v/>
      </c>
      <c r="G6" s="10">
        <f>MIN('Stage B - V and I'!G22:G103)</f>
        <v/>
      </c>
      <c r="H6" s="10">
        <f>MAX('Stage B - V and I'!G22:G103)</f>
        <v/>
      </c>
      <c r="I6" s="2">
        <f>COUNTIF('Stage B - V and I'!G22:G103,"&gt;1.5")</f>
        <v/>
      </c>
    </row>
    <row r="7">
      <c r="A7" s="2" t="inlineStr">
        <is>
          <t>Demo - Temperature</t>
        </is>
      </c>
      <c r="B7" s="2">
        <f>COUNT('Demo - Temperature'!B21:B105)</f>
        <v/>
      </c>
      <c r="C7" s="10">
        <f>'Demo - Temperature'!B105-'Demo - Temperature'!B21</f>
        <v/>
      </c>
      <c r="D7" s="10" t="n">
        <v>1</v>
      </c>
      <c r="E7" s="10">
        <f>AVERAGE('Demo - Temperature'!E22:E105)</f>
        <v/>
      </c>
      <c r="F7" s="10">
        <f>STDEV('Demo - Temperature'!E22:E105)</f>
        <v/>
      </c>
      <c r="G7" s="10">
        <f>MIN('Demo - Temperature'!E22:E105)</f>
        <v/>
      </c>
      <c r="H7" s="10">
        <f>MAX('Demo - Temperature'!E22:E105)</f>
        <v/>
      </c>
      <c r="I7" s="2">
        <f>COUNTIF('Demo - Temperature'!E22:E105,"&gt;1.5")</f>
        <v/>
      </c>
    </row>
    <row r="8">
      <c r="A8" s="2" t="inlineStr">
        <is>
          <t>Stage A - Transport</t>
        </is>
      </c>
      <c r="B8" s="2">
        <f>COUNT('Stage A - Transport'!B18:B168)</f>
        <v/>
      </c>
      <c r="C8" s="10">
        <f>'Stage A - Transport'!B168-'Stage A - Transport'!B18</f>
        <v/>
      </c>
      <c r="D8" s="10" t="n">
        <v>1</v>
      </c>
      <c r="E8" s="10">
        <f>AVERAGE('Stage A - Transport'!H19:H168)</f>
        <v/>
      </c>
      <c r="F8" s="10">
        <f>STDEV('Stage A - Transport'!H19:H168)</f>
        <v/>
      </c>
      <c r="G8" s="10">
        <f>MIN('Stage A - Transport'!H19:H168)</f>
        <v/>
      </c>
      <c r="H8" s="10">
        <f>MAX('Stage A - Transport'!H19:H168)</f>
        <v/>
      </c>
      <c r="I8" s="2">
        <f>COUNTIF('Stage A - Transport'!H19:H168,"&gt;1.5")</f>
        <v/>
      </c>
    </row>
    <row r="11">
      <c r="A11" s="3" t="inlineStr">
        <is>
          <t>Link budget</t>
        </is>
      </c>
    </row>
    <row r="12">
      <c r="A12" s="5" t="inlineStr">
        <is>
          <t>Serial link 9600 baud, 8N1. One JSON record is approximately 72 bytes, or 720 bits on the wire, so a record occupies about 75 ms of a 1000 ms sample period - roughly 7.5% channel utilisation. The binding limit on sample rate is the sensor, not the link.</t>
        </is>
      </c>
    </row>
    <row r="13"/>
    <row r="14"/>
    <row r="16">
      <c r="A16" s="3" t="inlineStr">
        <is>
          <t>Why the baud rate is 9600 and not the project default of 115200</t>
        </is>
      </c>
    </row>
    <row r="17">
      <c r="A17" s="5" t="inlineStr">
        <is>
          <t>The CH340 USB-serial bridge on this board accepts only 9600 and 19200 baud; 38400 and above are refused at the driver level. Diagnosed by probing the baud ladder. Applied as a build-time override so the repository default stays 115200.</t>
        </is>
      </c>
    </row>
    <row r="18"/>
    <row r="19"/>
  </sheetData>
  <mergeCells count="3">
    <mergeCell ref="A12:I14"/>
    <mergeCell ref="A17:I19"/>
    <mergeCell ref="A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Per-channel statistics</t>
        </is>
      </c>
    </row>
    <row r="2">
      <c r="A2" s="12" t="inlineStr">
        <is>
          <t>Computed by formula from the capture sheets, so the figures recalculate with the data.</t>
        </is>
      </c>
    </row>
    <row r="4">
      <c r="A4" s="8" t="inlineStr">
        <is>
          <t>Capture</t>
        </is>
      </c>
      <c r="B4" s="8" t="inlineStr">
        <is>
          <t>Channel</t>
        </is>
      </c>
      <c r="C4" s="8" t="inlineStr">
        <is>
          <t>Unit</t>
        </is>
      </c>
      <c r="D4" s="8" t="inlineStr">
        <is>
          <t>n</t>
        </is>
      </c>
      <c r="E4" s="8" t="inlineStr">
        <is>
          <t>Mean</t>
        </is>
      </c>
      <c r="F4" s="8" t="inlineStr">
        <is>
          <t>Min</t>
        </is>
      </c>
      <c r="G4" s="8" t="inlineStr">
        <is>
          <t>Max</t>
        </is>
      </c>
      <c r="H4" s="8" t="inlineStr">
        <is>
          <t>Std dev</t>
        </is>
      </c>
    </row>
    <row r="5">
      <c r="A5" s="14" t="inlineStr">
        <is>
          <t>Stage B - V and I</t>
        </is>
      </c>
      <c r="B5" s="2" t="inlineStr">
        <is>
          <t>Terminal voltage</t>
        </is>
      </c>
      <c r="C5" s="2" t="inlineStr">
        <is>
          <t>V</t>
        </is>
      </c>
      <c r="D5" s="2">
        <f>COUNT('Stage B - V and I'!C21:C103)</f>
        <v/>
      </c>
      <c r="E5" s="15">
        <f>AVERAGE('Stage B - V and I'!C21:C103)</f>
        <v/>
      </c>
      <c r="F5" s="15">
        <f>MIN('Stage B - V and I'!C21:C103)</f>
        <v/>
      </c>
      <c r="G5" s="15">
        <f>MAX('Stage B - V and I'!C21:C103)</f>
        <v/>
      </c>
      <c r="H5" s="15">
        <f>STDEV('Stage B - V and I'!C21:C103)</f>
        <v/>
      </c>
    </row>
    <row r="6">
      <c r="A6" s="14" t="inlineStr">
        <is>
          <t>Stage B - V and I</t>
        </is>
      </c>
      <c r="B6" s="2" t="inlineStr">
        <is>
          <t>Current, signed</t>
        </is>
      </c>
      <c r="C6" s="2" t="inlineStr">
        <is>
          <t>A</t>
        </is>
      </c>
      <c r="D6" s="2">
        <f>COUNT('Stage B - V and I'!D21:D103)</f>
        <v/>
      </c>
      <c r="E6" s="15">
        <f>AVERAGE('Stage B - V and I'!D21:D103)</f>
        <v/>
      </c>
      <c r="F6" s="15">
        <f>MIN('Stage B - V and I'!D21:D103)</f>
        <v/>
      </c>
      <c r="G6" s="15">
        <f>MAX('Stage B - V and I'!D21:D103)</f>
        <v/>
      </c>
      <c r="H6" s="15">
        <f>STDEV('Stage B - V and I'!D21:D103)</f>
        <v/>
      </c>
    </row>
    <row r="7">
      <c r="A7" s="14" t="inlineStr">
        <is>
          <t>Stage B - V and I</t>
        </is>
      </c>
      <c r="B7" s="2" t="inlineStr">
        <is>
          <t>State of charge</t>
        </is>
      </c>
      <c r="C7" s="2" t="inlineStr">
        <is>
          <t>%</t>
        </is>
      </c>
      <c r="D7" s="2">
        <f>COUNT('Stage B - V and I'!E21:E103)</f>
        <v/>
      </c>
      <c r="E7" s="15">
        <f>AVERAGE('Stage B - V and I'!E21:E103)</f>
        <v/>
      </c>
      <c r="F7" s="15">
        <f>MIN('Stage B - V and I'!E21:E103)</f>
        <v/>
      </c>
      <c r="G7" s="15">
        <f>MAX('Stage B - V and I'!E21:E103)</f>
        <v/>
      </c>
      <c r="H7" s="15">
        <f>STDEV('Stage B - V and I'!E21:E103)</f>
        <v/>
      </c>
    </row>
    <row r="8">
      <c r="A8" s="14" t="inlineStr">
        <is>
          <t>Demo - Temperature</t>
        </is>
      </c>
      <c r="B8" s="2" t="inlineStr">
        <is>
          <t>Cell temperature</t>
        </is>
      </c>
      <c r="C8" s="2" t="inlineStr">
        <is>
          <t>deg C</t>
        </is>
      </c>
      <c r="D8" s="2">
        <f>COUNT('Demo - Temperature'!C21:C105)</f>
        <v/>
      </c>
      <c r="E8" s="15">
        <f>AVERAGE('Demo - Temperature'!C21:C105)</f>
        <v/>
      </c>
      <c r="F8" s="15">
        <f>MIN('Demo - Temperature'!C21:C105)</f>
        <v/>
      </c>
      <c r="G8" s="15">
        <f>MAX('Demo - Temperature'!C21:C105)</f>
        <v/>
      </c>
      <c r="H8" s="15">
        <f>STDEV('Demo - Temperature'!C21:C105)</f>
        <v/>
      </c>
    </row>
    <row r="9">
      <c r="A9" s="14" t="inlineStr">
        <is>
          <t>Stage A - Transport</t>
        </is>
      </c>
      <c r="B9" s="2" t="inlineStr">
        <is>
          <t>Terminal voltage</t>
        </is>
      </c>
      <c r="C9" s="2" t="inlineStr">
        <is>
          <t>V</t>
        </is>
      </c>
      <c r="D9" s="2">
        <f>COUNT('Stage A - Transport'!C18:C168)</f>
        <v/>
      </c>
      <c r="E9" s="15">
        <f>AVERAGE('Stage A - Transport'!C18:C168)</f>
        <v/>
      </c>
      <c r="F9" s="15">
        <f>MIN('Stage A - Transport'!C18:C168)</f>
        <v/>
      </c>
      <c r="G9" s="15">
        <f>MAX('Stage A - Transport'!C18:C168)</f>
        <v/>
      </c>
      <c r="H9" s="15">
        <f>STDEV('Stage A - Transport'!C18:C168)</f>
        <v/>
      </c>
    </row>
    <row r="10">
      <c r="A10" s="14" t="inlineStr">
        <is>
          <t>Stage A - Transport</t>
        </is>
      </c>
      <c r="B10" s="2" t="inlineStr">
        <is>
          <t>Current, signed</t>
        </is>
      </c>
      <c r="C10" s="2" t="inlineStr">
        <is>
          <t>A</t>
        </is>
      </c>
      <c r="D10" s="2">
        <f>COUNT('Stage A - Transport'!D18:D168)</f>
        <v/>
      </c>
      <c r="E10" s="15">
        <f>AVERAGE('Stage A - Transport'!D18:D168)</f>
        <v/>
      </c>
      <c r="F10" s="15">
        <f>MIN('Stage A - Transport'!D18:D168)</f>
        <v/>
      </c>
      <c r="G10" s="15">
        <f>MAX('Stage A - Transport'!D18:D168)</f>
        <v/>
      </c>
      <c r="H10" s="15">
        <f>STDEV('Stage A - Transport'!D18:D168)</f>
        <v/>
      </c>
    </row>
    <row r="11">
      <c r="A11" s="14" t="inlineStr">
        <is>
          <t>Stage A - Transport</t>
        </is>
      </c>
      <c r="B11" s="2" t="inlineStr">
        <is>
          <t>Cell temperature</t>
        </is>
      </c>
      <c r="C11" s="2" t="inlineStr">
        <is>
          <t>deg C</t>
        </is>
      </c>
      <c r="D11" s="2">
        <f>COUNT('Stage A - Transport'!E18:E168)</f>
        <v/>
      </c>
      <c r="E11" s="15">
        <f>AVERAGE('Stage A - Transport'!E18:E168)</f>
        <v/>
      </c>
      <c r="F11" s="15">
        <f>MIN('Stage A - Transport'!E18:E168)</f>
        <v/>
      </c>
      <c r="G11" s="15">
        <f>MAX('Stage A - Transport'!E18:E168)</f>
        <v/>
      </c>
      <c r="H11" s="15">
        <f>STDEV('Stage A - Transport'!E18:E168)</f>
        <v/>
      </c>
    </row>
    <row r="12">
      <c r="A12" s="14" t="inlineStr">
        <is>
          <t>Stage A - Transport</t>
        </is>
      </c>
      <c r="B12" s="2" t="inlineStr">
        <is>
          <t>State of charge</t>
        </is>
      </c>
      <c r="C12" s="2" t="inlineStr">
        <is>
          <t>%</t>
        </is>
      </c>
      <c r="D12" s="2">
        <f>COUNT('Stage A - Transport'!F18:F168)</f>
        <v/>
      </c>
      <c r="E12" s="15">
        <f>AVERAGE('Stage A - Transport'!F18:F168)</f>
        <v/>
      </c>
      <c r="F12" s="15">
        <f>MIN('Stage A - Transport'!F18:F168)</f>
        <v/>
      </c>
      <c r="G12" s="15">
        <f>MAX('Stage A - Transport'!F18:F168)</f>
        <v/>
      </c>
      <c r="H12" s="15">
        <f>STDEV('Stage A - Transport'!F18:F168)</f>
        <v/>
      </c>
    </row>
    <row r="14">
      <c r="A14" s="7" t="inlineStr">
        <is>
          <t>Channels absent from a capture do not appear above. The rig declares the sensors it has and omits the rest; a missing channel is a refusal with a stated reason, not a zero.</t>
        </is>
      </c>
    </row>
    <row r="15"/>
  </sheetData>
  <mergeCells count="1">
    <mergeCell ref="A14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2026-09-19T07:51:49Z</dcterms:created>
  <dcterms:modified xmlns:dcterms="http://purl.org/dc/terms/" xmlns:xsi="http://www.w3.org/2001/XMLSchema-instance" xsi:type="dcterms:W3CDTF">2026-09-19T07:51:49Z</dcterms:modified>
</cp:coreProperties>
</file>